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BHK Full Home" sheetId="2" state="visible" r:id="rId2"/>
    <sheet xmlns:r="http://schemas.openxmlformats.org/officeDocument/2006/relationships" name="2BHK Full Home" sheetId="3" state="visible" r:id="rId3"/>
    <sheet xmlns:r="http://schemas.openxmlformats.org/officeDocument/2006/relationships" name="3BHK Full Home" sheetId="4" state="visible" r:id="rId4"/>
    <sheet xmlns:r="http://schemas.openxmlformats.org/officeDocument/2006/relationships" name="Modular Kitchen" sheetId="5" state="visible" r:id="rId5"/>
    <sheet xmlns:r="http://schemas.openxmlformats.org/officeDocument/2006/relationships" name="Wardrobe" sheetId="6" state="visible" r:id="rId6"/>
    <sheet xmlns:r="http://schemas.openxmlformats.org/officeDocument/2006/relationships" name="False Ceiling" sheetId="7" state="visible" r:id="rId7"/>
    <sheet xmlns:r="http://schemas.openxmlformats.org/officeDocument/2006/relationships" name="Painting" sheetId="8" state="visible" r:id="rId8"/>
    <sheet xmlns:r="http://schemas.openxmlformats.org/officeDocument/2006/relationships" name="Electrical" sheetId="9" state="visible" r:id="rId9"/>
    <sheet xmlns:r="http://schemas.openxmlformats.org/officeDocument/2006/relationships" name="TV Unit" sheetId="10" state="visible" r:id="rId10"/>
    <sheet xmlns:r="http://schemas.openxmlformats.org/officeDocument/2006/relationships" name="Pooja Unit" sheetId="11" state="visible" r:id="rId11"/>
    <sheet xmlns:r="http://schemas.openxmlformats.org/officeDocument/2006/relationships" name="Full Home Master" sheetId="12" state="visible" r:id="rId12"/>
    <sheet xmlns:r="http://schemas.openxmlformats.org/officeDocument/2006/relationships" name="GST + Discount cal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0F2C5F"/>
      <sz val="22"/>
    </font>
    <font>
      <name val="Calibri"/>
      <i val="1"/>
      <color rgb="005A6273"/>
      <sz val="11"/>
    </font>
    <font>
      <b val="1"/>
      <color rgb="000F2C5F"/>
      <sz val="13"/>
    </font>
    <font>
      <color rgb="001A1F2C"/>
      <sz val="11"/>
    </font>
    <font>
      <name val="Calibri"/>
      <b val="1"/>
      <color rgb="000F2C5F"/>
      <sz val="18"/>
    </font>
    <font>
      <name val="Calibri"/>
      <i val="1"/>
      <color rgb="005A6273"/>
      <sz val="10"/>
    </font>
    <font>
      <name val="Calibri"/>
      <b val="1"/>
      <color rgb="00FFFFFF"/>
      <sz val="11"/>
    </font>
    <font>
      <b val="1"/>
      <color rgb="000F2C5F"/>
    </font>
    <font>
      <color rgb="000000FF"/>
    </font>
    <font>
      <b val="1"/>
    </font>
    <font>
      <b val="1"/>
      <color rgb="00FFFFFF"/>
      <sz val="12"/>
    </font>
    <font>
      <b val="1"/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C5F"/>
      </patternFill>
    </fill>
    <fill>
      <patternFill patternType="solid">
        <fgColor rgb="00F9F7F1"/>
      </patternFill>
    </fill>
  </fills>
  <borders count="2">
    <border>
      <left/>
      <right/>
      <top/>
      <bottom/>
      <diagonal/>
    </border>
    <border>
      <left style="thin">
        <color rgb="00E5E2DA"/>
      </left>
      <right style="thin">
        <color rgb="00E5E2DA"/>
      </right>
      <top style="thin">
        <color rgb="00E5E2DA"/>
      </top>
      <bottom style="thin">
        <color rgb="00E5E2D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horizontal="right"/>
    </xf>
    <xf numFmtId="3" fontId="9" fillId="0" borderId="1" pivotButton="0" quotePrefix="0" xfId="0"/>
    <xf numFmtId="3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8" fillId="3" borderId="1" pivotButton="0" quotePrefix="0" xfId="0"/>
    <xf numFmtId="0" fontId="0" fillId="3" borderId="1" applyAlignment="1" pivotButton="0" quotePrefix="0" xfId="0">
      <alignment horizontal="right"/>
    </xf>
    <xf numFmtId="3" fontId="9" fillId="3" borderId="1" pivotButton="0" quotePrefix="0" xfId="0"/>
    <xf numFmtId="3" fontId="0" fillId="3" borderId="1" pivotButton="0" quotePrefix="0" xfId="0"/>
    <xf numFmtId="0" fontId="8" fillId="0" borderId="0" applyAlignment="1" pivotButton="0" quotePrefix="0" xfId="0">
      <alignment horizontal="right"/>
    </xf>
    <xf numFmtId="3" fontId="10" fillId="0" borderId="0" pivotButton="0" quotePrefix="0" xfId="0"/>
    <xf numFmtId="0" fontId="10" fillId="0" borderId="0" applyAlignment="1" pivotButton="0" quotePrefix="0" xfId="0">
      <alignment horizontal="right"/>
    </xf>
    <xf numFmtId="164" fontId="9" fillId="0" borderId="0" pivotButton="0" quotePrefix="0" xfId="0"/>
    <xf numFmtId="3" fontId="0" fillId="0" borderId="0" pivotButton="0" quotePrefix="0" xfId="0"/>
    <xf numFmtId="0" fontId="11" fillId="2" borderId="0" applyAlignment="1" pivotButton="0" quotePrefix="0" xfId="0">
      <alignment horizontal="right"/>
    </xf>
    <xf numFmtId="3" fontId="11" fillId="2" borderId="0" pivotButton="0" quotePrefix="0" xfId="0"/>
    <xf numFmtId="3" fontId="12" fillId="0" borderId="0" pivotButton="0" quotePrefix="0" xfId="0"/>
    <xf numFmtId="164" fontId="12" fillId="0" borderId="0" pivotButton="0" quotePrefix="0" xfId="0"/>
    <xf numFmtId="0" fontId="13" fillId="2" borderId="0" pivotButton="0" quotePrefix="0" xfId="0"/>
    <xf numFmtId="3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Homicube Quotation Templates</t>
        </is>
      </c>
    </row>
    <row r="2">
      <c r="A2" s="2" t="inlineStr">
        <is>
          <t>Edition 2026 · 12 ready-to-use BOQ workbooks for Tirupur interior studios</t>
        </is>
      </c>
    </row>
    <row r="4">
      <c r="A4" s="3" t="inlineStr">
        <is>
          <t>How to use</t>
        </is>
      </c>
    </row>
    <row r="5">
      <c r="A5" s="4" t="inlineStr">
        <is>
          <t>1. Pick the sheet that matches the project (1BHK, 2BHK, Modular Kitchen, etc.)</t>
        </is>
      </c>
    </row>
    <row r="6">
      <c r="A6" s="4" t="inlineStr">
        <is>
          <t>2. Cells in BLUE are inputs — change qty, rate, discount %</t>
        </is>
      </c>
    </row>
    <row r="7">
      <c r="A7" s="4" t="inlineStr">
        <is>
          <t>3. BLACK cells are formulas — do not edit</t>
        </is>
      </c>
    </row>
    <row r="8">
      <c r="A8" s="4" t="inlineStr">
        <is>
          <t>4. GST is fixed at 18% for interior services. Adjust on the GST row if needed</t>
        </is>
      </c>
    </row>
    <row r="9">
      <c r="A9" s="4" t="inlineStr">
        <is>
          <t>5. Brand column is locked to brands we recommend (Hettich, Hafele, Greenply, Merino)</t>
        </is>
      </c>
    </row>
    <row r="10">
      <c r="A10" s="4" t="inlineStr">
        <is>
          <t>6. Save a copy per client. Master file stays clean for the next quote</t>
        </is>
      </c>
    </row>
    <row r="11">
      <c r="A11" s="4" t="inlineStr"/>
    </row>
    <row r="12">
      <c r="A12" s="4" t="inlineStr">
        <is>
          <t>Want this auto-generated from a lead — with brands, GST and PDF in one click?</t>
        </is>
      </c>
    </row>
    <row r="13">
      <c r="A13" s="4" t="inlineStr">
        <is>
          <t>Try Homicube → homicube.com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1BHK Full Home</t>
        </is>
      </c>
    </row>
    <row r="2">
      <c r="A2" s="6" t="inlineStr">
        <is>
          <t>Compact 1BHK · Hettich + Greenply · 35-40 day delivery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Living</t>
        </is>
      </c>
      <c r="C5" s="9" t="inlineStr">
        <is>
          <t>TV unit — 6ft x 8ft, BWP 18mm carcass, laminate shutters</t>
        </is>
      </c>
      <c r="D5" s="10" t="inlineStr">
        <is>
          <t>Greenply BWP</t>
        </is>
      </c>
      <c r="E5" s="8" t="inlineStr">
        <is>
          <t>sqft</t>
        </is>
      </c>
      <c r="F5" s="11" t="n">
        <v>48</v>
      </c>
      <c r="G5" s="12" t="n">
        <v>1450</v>
      </c>
      <c r="H5" s="13">
        <f>F5*G5</f>
        <v/>
      </c>
    </row>
    <row r="6">
      <c r="A6" s="14" t="n">
        <v>2</v>
      </c>
      <c r="B6" s="15" t="inlineStr">
        <is>
          <t>Living</t>
        </is>
      </c>
      <c r="C6" s="15" t="inlineStr">
        <is>
          <t>Crockery unit — 4ft x 7ft</t>
        </is>
      </c>
      <c r="D6" s="16" t="inlineStr">
        <is>
          <t>Greenply BWP</t>
        </is>
      </c>
      <c r="E6" s="14" t="inlineStr">
        <is>
          <t>sqft</t>
        </is>
      </c>
      <c r="F6" s="17" t="n">
        <v>28</v>
      </c>
      <c r="G6" s="18" t="n">
        <v>1380</v>
      </c>
      <c r="H6" s="19">
        <f>F6*G6</f>
        <v/>
      </c>
    </row>
    <row r="7">
      <c r="A7" s="8" t="n">
        <v>3</v>
      </c>
      <c r="B7" s="9" t="inlineStr">
        <is>
          <t>Kitchen</t>
        </is>
      </c>
      <c r="C7" s="9" t="inlineStr">
        <is>
          <t>Modular base + wall units — straight 8ft</t>
        </is>
      </c>
      <c r="D7" s="10" t="inlineStr">
        <is>
          <t>Hettich + Greenply</t>
        </is>
      </c>
      <c r="E7" s="8" t="inlineStr">
        <is>
          <t>rft</t>
        </is>
      </c>
      <c r="F7" s="11" t="n">
        <v>8</v>
      </c>
      <c r="G7" s="12" t="n">
        <v>18500</v>
      </c>
      <c r="H7" s="13">
        <f>F7*G7</f>
        <v/>
      </c>
    </row>
    <row r="8">
      <c r="A8" s="14" t="n">
        <v>4</v>
      </c>
      <c r="B8" s="15" t="inlineStr">
        <is>
          <t>Kitchen</t>
        </is>
      </c>
      <c r="C8" s="15" t="inlineStr">
        <is>
          <t>Tall pantry unit — 2ft x 7ft</t>
        </is>
      </c>
      <c r="D8" s="16" t="inlineStr">
        <is>
          <t>Hettich + Greenply</t>
        </is>
      </c>
      <c r="E8" s="14" t="inlineStr">
        <is>
          <t>sqft</t>
        </is>
      </c>
      <c r="F8" s="17" t="n">
        <v>14</v>
      </c>
      <c r="G8" s="18" t="n">
        <v>1650</v>
      </c>
      <c r="H8" s="19">
        <f>F8*G8</f>
        <v/>
      </c>
    </row>
    <row r="9">
      <c r="A9" s="8" t="n">
        <v>5</v>
      </c>
      <c r="B9" s="9" t="inlineStr">
        <is>
          <t>Kitchen</t>
        </is>
      </c>
      <c r="C9" s="9" t="inlineStr">
        <is>
          <t>Granite countertop — 8ft</t>
        </is>
      </c>
      <c r="D9" s="10" t="inlineStr">
        <is>
          <t>Black Galaxy</t>
        </is>
      </c>
      <c r="E9" s="8" t="inlineStr">
        <is>
          <t>rft</t>
        </is>
      </c>
      <c r="F9" s="11" t="n">
        <v>8</v>
      </c>
      <c r="G9" s="12" t="n">
        <v>950</v>
      </c>
      <c r="H9" s="13">
        <f>F9*G9</f>
        <v/>
      </c>
    </row>
    <row r="10">
      <c r="A10" s="14" t="n">
        <v>6</v>
      </c>
      <c r="B10" s="15" t="inlineStr">
        <is>
          <t>Bedroom</t>
        </is>
      </c>
      <c r="C10" s="15" t="inlineStr">
        <is>
          <t>Wardrobe — sliding 6ft x 7ft</t>
        </is>
      </c>
      <c r="D10" s="16" t="inlineStr">
        <is>
          <t>Hettich sliding</t>
        </is>
      </c>
      <c r="E10" s="14" t="inlineStr">
        <is>
          <t>sqft</t>
        </is>
      </c>
      <c r="F10" s="17" t="n">
        <v>42</v>
      </c>
      <c r="G10" s="18" t="n">
        <v>1550</v>
      </c>
      <c r="H10" s="19">
        <f>F10*G10</f>
        <v/>
      </c>
    </row>
    <row r="11">
      <c r="A11" s="8" t="n">
        <v>7</v>
      </c>
      <c r="B11" s="9" t="inlineStr">
        <is>
          <t>Bedroom</t>
        </is>
      </c>
      <c r="C11" s="9" t="inlineStr">
        <is>
          <t>Bed with storage — Queen</t>
        </is>
      </c>
      <c r="D11" s="10" t="inlineStr">
        <is>
          <t>Greenply BWP</t>
        </is>
      </c>
      <c r="E11" s="8" t="inlineStr">
        <is>
          <t>nos</t>
        </is>
      </c>
      <c r="F11" s="11" t="n">
        <v>1</v>
      </c>
      <c r="G11" s="12" t="n">
        <v>38000</v>
      </c>
      <c r="H11" s="13">
        <f>F11*G11</f>
        <v/>
      </c>
    </row>
    <row r="12">
      <c r="A12" s="14" t="n">
        <v>8</v>
      </c>
      <c r="B12" s="15" t="inlineStr">
        <is>
          <t>Bedroom</t>
        </is>
      </c>
      <c r="C12" s="15" t="inlineStr">
        <is>
          <t>Side tables — pair</t>
        </is>
      </c>
      <c r="D12" s="16" t="inlineStr">
        <is>
          <t>Greenply BWP</t>
        </is>
      </c>
      <c r="E12" s="14" t="inlineStr">
        <is>
          <t>nos</t>
        </is>
      </c>
      <c r="F12" s="17" t="n">
        <v>2</v>
      </c>
      <c r="G12" s="18" t="n">
        <v>6500</v>
      </c>
      <c r="H12" s="19">
        <f>F12*G12</f>
        <v/>
      </c>
    </row>
    <row r="13">
      <c r="A13" s="8" t="n">
        <v>9</v>
      </c>
      <c r="B13" s="9" t="inlineStr">
        <is>
          <t>False ceiling</t>
        </is>
      </c>
      <c r="C13" s="9" t="inlineStr">
        <is>
          <t>Living + bedroom POP cove</t>
        </is>
      </c>
      <c r="D13" s="10" t="inlineStr">
        <is>
          <t>Gypsum + cove</t>
        </is>
      </c>
      <c r="E13" s="8" t="inlineStr">
        <is>
          <t>sqft</t>
        </is>
      </c>
      <c r="F13" s="11" t="n">
        <v>320</v>
      </c>
      <c r="G13" s="12" t="n">
        <v>95</v>
      </c>
      <c r="H13" s="13">
        <f>F13*G13</f>
        <v/>
      </c>
    </row>
    <row r="14">
      <c r="A14" s="14" t="n">
        <v>10</v>
      </c>
      <c r="B14" s="15" t="inlineStr">
        <is>
          <t>Painting</t>
        </is>
      </c>
      <c r="C14" s="15" t="inlineStr">
        <is>
          <t>Walls — Asian Apex + putty</t>
        </is>
      </c>
      <c r="D14" s="16" t="inlineStr">
        <is>
          <t>Asian Paints</t>
        </is>
      </c>
      <c r="E14" s="14" t="inlineStr">
        <is>
          <t>sqft</t>
        </is>
      </c>
      <c r="F14" s="17" t="n">
        <v>850</v>
      </c>
      <c r="G14" s="18" t="n">
        <v>32</v>
      </c>
      <c r="H14" s="19">
        <f>F14*G14</f>
        <v/>
      </c>
    </row>
    <row r="15">
      <c r="A15" s="8" t="n">
        <v>11</v>
      </c>
      <c r="B15" s="9" t="inlineStr">
        <is>
          <t>Lighting</t>
        </is>
      </c>
      <c r="C15" s="9" t="inlineStr">
        <is>
          <t>LED panels + cove + pendants</t>
        </is>
      </c>
      <c r="D15" s="10" t="inlineStr">
        <is>
          <t>Wipro / Philips</t>
        </is>
      </c>
      <c r="E15" s="8" t="inlineStr">
        <is>
          <t>set</t>
        </is>
      </c>
      <c r="F15" s="11" t="n">
        <v>1</v>
      </c>
      <c r="G15" s="12" t="n">
        <v>28000</v>
      </c>
      <c r="H15" s="13">
        <f>F15*G15</f>
        <v/>
      </c>
    </row>
    <row r="16">
      <c r="A16" s="14" t="n">
        <v>12</v>
      </c>
      <c r="B16" s="15" t="inlineStr">
        <is>
          <t>Electrical</t>
        </is>
      </c>
      <c r="C16" s="15" t="inlineStr">
        <is>
          <t>Rewiring + switches modular</t>
        </is>
      </c>
      <c r="D16" s="16" t="inlineStr">
        <is>
          <t>Anchor Roma / Legrand</t>
        </is>
      </c>
      <c r="E16" s="14" t="inlineStr">
        <is>
          <t>point</t>
        </is>
      </c>
      <c r="F16" s="17" t="n">
        <v>28</v>
      </c>
      <c r="G16" s="18" t="n">
        <v>850</v>
      </c>
      <c r="H16" s="19">
        <f>F16*G16</f>
        <v/>
      </c>
    </row>
    <row r="18">
      <c r="G18" s="20" t="inlineStr">
        <is>
          <t>Subtotal</t>
        </is>
      </c>
      <c r="H18" s="21">
        <f>SUM(H5:H16)</f>
        <v/>
      </c>
    </row>
    <row r="19">
      <c r="G19" s="22" t="inlineStr">
        <is>
          <t>Discount %</t>
        </is>
      </c>
      <c r="H19" s="23" t="n">
        <v>0</v>
      </c>
    </row>
    <row r="20">
      <c r="G20" s="22" t="inlineStr">
        <is>
          <t>After discount</t>
        </is>
      </c>
      <c r="H20" s="24">
        <f>H18*(1-H19)</f>
        <v/>
      </c>
    </row>
    <row r="21">
      <c r="G21" s="22" t="inlineStr">
        <is>
          <t>GST 18%</t>
        </is>
      </c>
      <c r="H21" s="24">
        <f>H20*0.18</f>
        <v/>
      </c>
    </row>
    <row r="22">
      <c r="G22" s="25" t="inlineStr">
        <is>
          <t>Grand total</t>
        </is>
      </c>
      <c r="H22" s="26">
        <f>H20+H21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2BHK Full Home</t>
        </is>
      </c>
    </row>
    <row r="2">
      <c r="A2" s="6" t="inlineStr">
        <is>
          <t>Standard Tirupur 2BHK · 45-day delivery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Living</t>
        </is>
      </c>
      <c r="C5" s="9" t="inlineStr">
        <is>
          <t>TV unit — full wall, 10ft x 9ft, mix of open and closed</t>
        </is>
      </c>
      <c r="D5" s="10" t="inlineStr">
        <is>
          <t>Greenply BWP + Merino</t>
        </is>
      </c>
      <c r="E5" s="8" t="inlineStr">
        <is>
          <t>sqft</t>
        </is>
      </c>
      <c r="F5" s="11" t="n">
        <v>90</v>
      </c>
      <c r="G5" s="12" t="n">
        <v>1480</v>
      </c>
      <c r="H5" s="13">
        <f>F5*G5</f>
        <v/>
      </c>
    </row>
    <row r="6">
      <c r="A6" s="14" t="n">
        <v>2</v>
      </c>
      <c r="B6" s="15" t="inlineStr">
        <is>
          <t>Living</t>
        </is>
      </c>
      <c r="C6" s="15" t="inlineStr">
        <is>
          <t>Pooja unit — 3ft x 6ft, teak finish shutters</t>
        </is>
      </c>
      <c r="D6" s="16" t="inlineStr">
        <is>
          <t>Teak veneer</t>
        </is>
      </c>
      <c r="E6" s="14" t="inlineStr">
        <is>
          <t>sqft</t>
        </is>
      </c>
      <c r="F6" s="17" t="n">
        <v>18</v>
      </c>
      <c r="G6" s="18" t="n">
        <v>2200</v>
      </c>
      <c r="H6" s="19">
        <f>F6*G6</f>
        <v/>
      </c>
    </row>
    <row r="7">
      <c r="A7" s="8" t="n">
        <v>3</v>
      </c>
      <c r="B7" s="9" t="inlineStr">
        <is>
          <t>Living</t>
        </is>
      </c>
      <c r="C7" s="9" t="inlineStr">
        <is>
          <t>Console + foyer cabinet</t>
        </is>
      </c>
      <c r="D7" s="10" t="inlineStr">
        <is>
          <t>Greenply BWP</t>
        </is>
      </c>
      <c r="E7" s="8" t="inlineStr">
        <is>
          <t>sqft</t>
        </is>
      </c>
      <c r="F7" s="11" t="n">
        <v>22</v>
      </c>
      <c r="G7" s="12" t="n">
        <v>1380</v>
      </c>
      <c r="H7" s="13">
        <f>F7*G7</f>
        <v/>
      </c>
    </row>
    <row r="8">
      <c r="A8" s="14" t="n">
        <v>4</v>
      </c>
      <c r="B8" s="15" t="inlineStr">
        <is>
          <t>Kitchen</t>
        </is>
      </c>
      <c r="C8" s="15" t="inlineStr">
        <is>
          <t>Modular L-shape — 8ft + 6ft</t>
        </is>
      </c>
      <c r="D8" s="16" t="inlineStr">
        <is>
          <t>Hettich + Greenply BWP</t>
        </is>
      </c>
      <c r="E8" s="14" t="inlineStr">
        <is>
          <t>rft</t>
        </is>
      </c>
      <c r="F8" s="17" t="n">
        <v>14</v>
      </c>
      <c r="G8" s="18" t="n">
        <v>18500</v>
      </c>
      <c r="H8" s="19">
        <f>F8*G8</f>
        <v/>
      </c>
    </row>
    <row r="9">
      <c r="A9" s="8" t="n">
        <v>5</v>
      </c>
      <c r="B9" s="9" t="inlineStr">
        <is>
          <t>Kitchen</t>
        </is>
      </c>
      <c r="C9" s="9" t="inlineStr">
        <is>
          <t>Tall units — pantry + appliance</t>
        </is>
      </c>
      <c r="D9" s="10" t="inlineStr">
        <is>
          <t>Hettich + Greenply</t>
        </is>
      </c>
      <c r="E9" s="8" t="inlineStr">
        <is>
          <t>sqft</t>
        </is>
      </c>
      <c r="F9" s="11" t="n">
        <v>28</v>
      </c>
      <c r="G9" s="12" t="n">
        <v>1650</v>
      </c>
      <c r="H9" s="13">
        <f>F9*G9</f>
        <v/>
      </c>
    </row>
    <row r="10">
      <c r="A10" s="14" t="n">
        <v>6</v>
      </c>
      <c r="B10" s="15" t="inlineStr">
        <is>
          <t>Kitchen</t>
        </is>
      </c>
      <c r="C10" s="15" t="inlineStr">
        <is>
          <t>Granite + dado tiles</t>
        </is>
      </c>
      <c r="D10" s="16" t="inlineStr">
        <is>
          <t>Black Galaxy + ceramic</t>
        </is>
      </c>
      <c r="E10" s="14" t="inlineStr">
        <is>
          <t>rft</t>
        </is>
      </c>
      <c r="F10" s="17" t="n">
        <v>14</v>
      </c>
      <c r="G10" s="18" t="n">
        <v>1450</v>
      </c>
      <c r="H10" s="19">
        <f>F10*G10</f>
        <v/>
      </c>
    </row>
    <row r="11">
      <c r="A11" s="8" t="n">
        <v>7</v>
      </c>
      <c r="B11" s="9" t="inlineStr">
        <is>
          <t>Master Bed</t>
        </is>
      </c>
      <c r="C11" s="9" t="inlineStr">
        <is>
          <t>Wardrobe — 8ft x 7ft hinged</t>
        </is>
      </c>
      <c r="D11" s="10" t="inlineStr">
        <is>
          <t>Hettich + Greenply BWP</t>
        </is>
      </c>
      <c r="E11" s="8" t="inlineStr">
        <is>
          <t>sqft</t>
        </is>
      </c>
      <c r="F11" s="11" t="n">
        <v>56</v>
      </c>
      <c r="G11" s="12" t="n">
        <v>1480</v>
      </c>
      <c r="H11" s="13">
        <f>F11*G11</f>
        <v/>
      </c>
    </row>
    <row r="12">
      <c r="A12" s="14" t="n">
        <v>8</v>
      </c>
      <c r="B12" s="15" t="inlineStr">
        <is>
          <t>Master Bed</t>
        </is>
      </c>
      <c r="C12" s="15" t="inlineStr">
        <is>
          <t>Bed with storage + side tables</t>
        </is>
      </c>
      <c r="D12" s="16" t="inlineStr">
        <is>
          <t>Greenply BWP</t>
        </is>
      </c>
      <c r="E12" s="14" t="inlineStr">
        <is>
          <t>set</t>
        </is>
      </c>
      <c r="F12" s="17" t="n">
        <v>1</v>
      </c>
      <c r="G12" s="18" t="n">
        <v>52000</v>
      </c>
      <c r="H12" s="19">
        <f>F12*G12</f>
        <v/>
      </c>
    </row>
    <row r="13">
      <c r="A13" s="8" t="n">
        <v>9</v>
      </c>
      <c r="B13" s="9" t="inlineStr">
        <is>
          <t>Master Bed</t>
        </is>
      </c>
      <c r="C13" s="9" t="inlineStr">
        <is>
          <t>Dresser — 4ft</t>
        </is>
      </c>
      <c r="D13" s="10" t="inlineStr">
        <is>
          <t>Greenply BWP</t>
        </is>
      </c>
      <c r="E13" s="8" t="inlineStr">
        <is>
          <t>sqft</t>
        </is>
      </c>
      <c r="F13" s="11" t="n">
        <v>16</v>
      </c>
      <c r="G13" s="12" t="n">
        <v>1450</v>
      </c>
      <c r="H13" s="13">
        <f>F13*G13</f>
        <v/>
      </c>
    </row>
    <row r="14">
      <c r="A14" s="14" t="n">
        <v>10</v>
      </c>
      <c r="B14" s="15" t="inlineStr">
        <is>
          <t>Kids Bed</t>
        </is>
      </c>
      <c r="C14" s="15" t="inlineStr">
        <is>
          <t>Wardrobe — 6ft x 7ft sliding</t>
        </is>
      </c>
      <c r="D14" s="16" t="inlineStr">
        <is>
          <t>Hettich sliding</t>
        </is>
      </c>
      <c r="E14" s="14" t="inlineStr">
        <is>
          <t>sqft</t>
        </is>
      </c>
      <c r="F14" s="17" t="n">
        <v>42</v>
      </c>
      <c r="G14" s="18" t="n">
        <v>1550</v>
      </c>
      <c r="H14" s="19">
        <f>F14*G14</f>
        <v/>
      </c>
    </row>
    <row r="15">
      <c r="A15" s="8" t="n">
        <v>11</v>
      </c>
      <c r="B15" s="9" t="inlineStr">
        <is>
          <t>Kids Bed</t>
        </is>
      </c>
      <c r="C15" s="9" t="inlineStr">
        <is>
          <t>Bed + study unit</t>
        </is>
      </c>
      <c r="D15" s="10" t="inlineStr">
        <is>
          <t>Greenply BWP</t>
        </is>
      </c>
      <c r="E15" s="8" t="inlineStr">
        <is>
          <t>set</t>
        </is>
      </c>
      <c r="F15" s="11" t="n">
        <v>1</v>
      </c>
      <c r="G15" s="12" t="n">
        <v>48000</v>
      </c>
      <c r="H15" s="13">
        <f>F15*G15</f>
        <v/>
      </c>
    </row>
    <row r="16">
      <c r="A16" s="14" t="n">
        <v>12</v>
      </c>
      <c r="B16" s="15" t="inlineStr">
        <is>
          <t>False ceiling</t>
        </is>
      </c>
      <c r="C16" s="15" t="inlineStr">
        <is>
          <t>All rooms — POP design with cove</t>
        </is>
      </c>
      <c r="D16" s="16" t="inlineStr">
        <is>
          <t>Gypsum + cove</t>
        </is>
      </c>
      <c r="E16" s="14" t="inlineStr">
        <is>
          <t>sqft</t>
        </is>
      </c>
      <c r="F16" s="17" t="n">
        <v>620</v>
      </c>
      <c r="G16" s="18" t="n">
        <v>105</v>
      </c>
      <c r="H16" s="19">
        <f>F16*G16</f>
        <v/>
      </c>
    </row>
    <row r="17">
      <c r="A17" s="8" t="n">
        <v>13</v>
      </c>
      <c r="B17" s="9" t="inlineStr">
        <is>
          <t>Painting</t>
        </is>
      </c>
      <c r="C17" s="9" t="inlineStr">
        <is>
          <t>Walls + ceiling, premium emulsion</t>
        </is>
      </c>
      <c r="D17" s="10" t="inlineStr">
        <is>
          <t>Asian Royale</t>
        </is>
      </c>
      <c r="E17" s="8" t="inlineStr">
        <is>
          <t>sqft</t>
        </is>
      </c>
      <c r="F17" s="11" t="n">
        <v>1450</v>
      </c>
      <c r="G17" s="12" t="n">
        <v>38</v>
      </c>
      <c r="H17" s="13">
        <f>F17*G17</f>
        <v/>
      </c>
    </row>
    <row r="18">
      <c r="A18" s="14" t="n">
        <v>14</v>
      </c>
      <c r="B18" s="15" t="inlineStr">
        <is>
          <t>Lighting</t>
        </is>
      </c>
      <c r="C18" s="15" t="inlineStr">
        <is>
          <t>LED + cove + chandeliers</t>
        </is>
      </c>
      <c r="D18" s="16" t="inlineStr">
        <is>
          <t>Wipro / Philips / Jaquar</t>
        </is>
      </c>
      <c r="E18" s="14" t="inlineStr">
        <is>
          <t>set</t>
        </is>
      </c>
      <c r="F18" s="17" t="n">
        <v>1</v>
      </c>
      <c r="G18" s="18" t="n">
        <v>52000</v>
      </c>
      <c r="H18" s="19">
        <f>F18*G18</f>
        <v/>
      </c>
    </row>
    <row r="19">
      <c r="A19" s="8" t="n">
        <v>15</v>
      </c>
      <c r="B19" s="9" t="inlineStr">
        <is>
          <t>Electrical</t>
        </is>
      </c>
      <c r="C19" s="9" t="inlineStr">
        <is>
          <t>Rewiring + modular switches + AC points</t>
        </is>
      </c>
      <c r="D19" s="10" t="inlineStr">
        <is>
          <t>Legrand Arteor</t>
        </is>
      </c>
      <c r="E19" s="8" t="inlineStr">
        <is>
          <t>point</t>
        </is>
      </c>
      <c r="F19" s="11" t="n">
        <v>48</v>
      </c>
      <c r="G19" s="12" t="n">
        <v>950</v>
      </c>
      <c r="H19" s="13">
        <f>F19*G19</f>
        <v/>
      </c>
    </row>
    <row r="21">
      <c r="G21" s="20" t="inlineStr">
        <is>
          <t>Subtotal</t>
        </is>
      </c>
      <c r="H21" s="21">
        <f>SUM(H5:H19)</f>
        <v/>
      </c>
    </row>
    <row r="22">
      <c r="G22" s="22" t="inlineStr">
        <is>
          <t>Discount %</t>
        </is>
      </c>
      <c r="H22" s="23" t="n">
        <v>0</v>
      </c>
    </row>
    <row r="23">
      <c r="G23" s="22" t="inlineStr">
        <is>
          <t>After discount</t>
        </is>
      </c>
      <c r="H23" s="24">
        <f>H21*(1-H22)</f>
        <v/>
      </c>
    </row>
    <row r="24">
      <c r="G24" s="22" t="inlineStr">
        <is>
          <t>GST 18%</t>
        </is>
      </c>
      <c r="H24" s="24">
        <f>H23*0.18</f>
        <v/>
      </c>
    </row>
    <row r="25">
      <c r="G25" s="25" t="inlineStr">
        <is>
          <t>Grand total</t>
        </is>
      </c>
      <c r="H25" s="26">
        <f>H23+H24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3BHK Full Home</t>
        </is>
      </c>
    </row>
    <row r="2">
      <c r="A2" s="6" t="inlineStr">
        <is>
          <t>Premium 3BHK · Hafele upgrade · 50-day delivery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Living</t>
        </is>
      </c>
      <c r="C5" s="9" t="inlineStr">
        <is>
          <t>TV unit — 12ft, fluted panels + open shelving</t>
        </is>
      </c>
      <c r="D5" s="10" t="inlineStr">
        <is>
          <t>Hafele + Merino fluted</t>
        </is>
      </c>
      <c r="E5" s="8" t="inlineStr">
        <is>
          <t>sqft</t>
        </is>
      </c>
      <c r="F5" s="11" t="n">
        <v>108</v>
      </c>
      <c r="G5" s="12" t="n">
        <v>1850</v>
      </c>
      <c r="H5" s="13">
        <f>F5*G5</f>
        <v/>
      </c>
    </row>
    <row r="6">
      <c r="A6" s="14" t="n">
        <v>2</v>
      </c>
      <c r="B6" s="15" t="inlineStr">
        <is>
          <t>Living</t>
        </is>
      </c>
      <c r="C6" s="15" t="inlineStr">
        <is>
          <t>Pooja room — full enclosure</t>
        </is>
      </c>
      <c r="D6" s="16" t="inlineStr">
        <is>
          <t>Teak + brass</t>
        </is>
      </c>
      <c r="E6" s="14" t="inlineStr">
        <is>
          <t>sqft</t>
        </is>
      </c>
      <c r="F6" s="17" t="n">
        <v>42</v>
      </c>
      <c r="G6" s="18" t="n">
        <v>2400</v>
      </c>
      <c r="H6" s="19">
        <f>F6*G6</f>
        <v/>
      </c>
    </row>
    <row r="7">
      <c r="A7" s="8" t="n">
        <v>3</v>
      </c>
      <c r="B7" s="9" t="inlineStr">
        <is>
          <t>Living</t>
        </is>
      </c>
      <c r="C7" s="9" t="inlineStr">
        <is>
          <t>Bar / crockery unit</t>
        </is>
      </c>
      <c r="D7" s="10" t="inlineStr">
        <is>
          <t>Hafele + glass + LED</t>
        </is>
      </c>
      <c r="E7" s="8" t="inlineStr">
        <is>
          <t>sqft</t>
        </is>
      </c>
      <c r="F7" s="11" t="n">
        <v>36</v>
      </c>
      <c r="G7" s="12" t="n">
        <v>2100</v>
      </c>
      <c r="H7" s="13">
        <f>F7*G7</f>
        <v/>
      </c>
    </row>
    <row r="8">
      <c r="A8" s="14" t="n">
        <v>4</v>
      </c>
      <c r="B8" s="15" t="inlineStr">
        <is>
          <t>Kitchen</t>
        </is>
      </c>
      <c r="C8" s="15" t="inlineStr">
        <is>
          <t>Modular U-shape — 10+8+6</t>
        </is>
      </c>
      <c r="D8" s="16" t="inlineStr">
        <is>
          <t>Hafele + Greenply BWP</t>
        </is>
      </c>
      <c r="E8" s="14" t="inlineStr">
        <is>
          <t>rft</t>
        </is>
      </c>
      <c r="F8" s="17" t="n">
        <v>24</v>
      </c>
      <c r="G8" s="18" t="n">
        <v>22500</v>
      </c>
      <c r="H8" s="19">
        <f>F8*G8</f>
        <v/>
      </c>
    </row>
    <row r="9">
      <c r="A9" s="8" t="n">
        <v>5</v>
      </c>
      <c r="B9" s="9" t="inlineStr">
        <is>
          <t>Kitchen</t>
        </is>
      </c>
      <c r="C9" s="9" t="inlineStr">
        <is>
          <t>Tall + breakfast counter</t>
        </is>
      </c>
      <c r="D9" s="10" t="inlineStr">
        <is>
          <t>Hafele + Merino</t>
        </is>
      </c>
      <c r="E9" s="8" t="inlineStr">
        <is>
          <t>sqft</t>
        </is>
      </c>
      <c r="F9" s="11" t="n">
        <v>38</v>
      </c>
      <c r="G9" s="12" t="n">
        <v>1850</v>
      </c>
      <c r="H9" s="13">
        <f>F9*G9</f>
        <v/>
      </c>
    </row>
    <row r="10">
      <c r="A10" s="14" t="n">
        <v>6</v>
      </c>
      <c r="B10" s="15" t="inlineStr">
        <is>
          <t>Kitchen</t>
        </is>
      </c>
      <c r="C10" s="15" t="inlineStr">
        <is>
          <t>Granite + glass dado</t>
        </is>
      </c>
      <c r="D10" s="16" t="inlineStr">
        <is>
          <t>Black Galaxy + lacquered glass</t>
        </is>
      </c>
      <c r="E10" s="14" t="inlineStr">
        <is>
          <t>rft</t>
        </is>
      </c>
      <c r="F10" s="17" t="n">
        <v>24</v>
      </c>
      <c r="G10" s="18" t="n">
        <v>1850</v>
      </c>
      <c r="H10" s="19">
        <f>F10*G10</f>
        <v/>
      </c>
    </row>
    <row r="11">
      <c r="A11" s="8" t="n">
        <v>7</v>
      </c>
      <c r="B11" s="9" t="inlineStr">
        <is>
          <t>Master Bed</t>
        </is>
      </c>
      <c r="C11" s="9" t="inlineStr">
        <is>
          <t>Walk-in wardrobe — 12ft</t>
        </is>
      </c>
      <c r="D11" s="10" t="inlineStr">
        <is>
          <t>Hafele + Greenply BWP</t>
        </is>
      </c>
      <c r="E11" s="8" t="inlineStr">
        <is>
          <t>sqft</t>
        </is>
      </c>
      <c r="F11" s="11" t="n">
        <v>96</v>
      </c>
      <c r="G11" s="12" t="n">
        <v>1850</v>
      </c>
      <c r="H11" s="13">
        <f>F11*G11</f>
        <v/>
      </c>
    </row>
    <row r="12">
      <c r="A12" s="14" t="n">
        <v>8</v>
      </c>
      <c r="B12" s="15" t="inlineStr">
        <is>
          <t>Master Bed</t>
        </is>
      </c>
      <c r="C12" s="15" t="inlineStr">
        <is>
          <t>Bed + storage + headboard panel</t>
        </is>
      </c>
      <c r="D12" s="16" t="inlineStr">
        <is>
          <t>Greenply + leatherette</t>
        </is>
      </c>
      <c r="E12" s="14" t="inlineStr">
        <is>
          <t>set</t>
        </is>
      </c>
      <c r="F12" s="17" t="n">
        <v>1</v>
      </c>
      <c r="G12" s="18" t="n">
        <v>78000</v>
      </c>
      <c r="H12" s="19">
        <f>F12*G12</f>
        <v/>
      </c>
    </row>
    <row r="13">
      <c r="A13" s="8" t="n">
        <v>9</v>
      </c>
      <c r="B13" s="9" t="inlineStr">
        <is>
          <t>Bed 2</t>
        </is>
      </c>
      <c r="C13" s="9" t="inlineStr">
        <is>
          <t>Wardrobe + study + bed</t>
        </is>
      </c>
      <c r="D13" s="10" t="inlineStr">
        <is>
          <t>Hettich + Greenply BWP</t>
        </is>
      </c>
      <c r="E13" s="8" t="inlineStr">
        <is>
          <t>set</t>
        </is>
      </c>
      <c r="F13" s="11" t="n">
        <v>1</v>
      </c>
      <c r="G13" s="12" t="n">
        <v>165000</v>
      </c>
      <c r="H13" s="13">
        <f>F13*G13</f>
        <v/>
      </c>
    </row>
    <row r="14">
      <c r="A14" s="14" t="n">
        <v>10</v>
      </c>
      <c r="B14" s="15" t="inlineStr">
        <is>
          <t>Bed 3</t>
        </is>
      </c>
      <c r="C14" s="15" t="inlineStr">
        <is>
          <t>Wardrobe + bed</t>
        </is>
      </c>
      <c r="D14" s="16" t="inlineStr">
        <is>
          <t>Hettich + Greenply BWP</t>
        </is>
      </c>
      <c r="E14" s="14" t="inlineStr">
        <is>
          <t>set</t>
        </is>
      </c>
      <c r="F14" s="17" t="n">
        <v>1</v>
      </c>
      <c r="G14" s="18" t="n">
        <v>138000</v>
      </c>
      <c r="H14" s="19">
        <f>F14*G14</f>
        <v/>
      </c>
    </row>
    <row r="15">
      <c r="A15" s="8" t="n">
        <v>11</v>
      </c>
      <c r="B15" s="9" t="inlineStr">
        <is>
          <t>False ceiling</t>
        </is>
      </c>
      <c r="C15" s="9" t="inlineStr">
        <is>
          <t>Designer ceiling all rooms + cove + spots</t>
        </is>
      </c>
      <c r="D15" s="10" t="inlineStr">
        <is>
          <t>Gypsum + LED</t>
        </is>
      </c>
      <c r="E15" s="8" t="inlineStr">
        <is>
          <t>sqft</t>
        </is>
      </c>
      <c r="F15" s="11" t="n">
        <v>950</v>
      </c>
      <c r="G15" s="12" t="n">
        <v>125</v>
      </c>
      <c r="H15" s="13">
        <f>F15*G15</f>
        <v/>
      </c>
    </row>
    <row r="16">
      <c r="A16" s="14" t="n">
        <v>12</v>
      </c>
      <c r="B16" s="15" t="inlineStr">
        <is>
          <t>Painting</t>
        </is>
      </c>
      <c r="C16" s="15" t="inlineStr">
        <is>
          <t>Premium emulsion + 2 textured walls</t>
        </is>
      </c>
      <c r="D16" s="16" t="inlineStr">
        <is>
          <t>Asian Royale + texture</t>
        </is>
      </c>
      <c r="E16" s="14" t="inlineStr">
        <is>
          <t>sqft</t>
        </is>
      </c>
      <c r="F16" s="17" t="n">
        <v>2100</v>
      </c>
      <c r="G16" s="18" t="n">
        <v>45</v>
      </c>
      <c r="H16" s="19">
        <f>F16*G16</f>
        <v/>
      </c>
    </row>
    <row r="17">
      <c r="A17" s="8" t="n">
        <v>13</v>
      </c>
      <c r="B17" s="9" t="inlineStr">
        <is>
          <t>Lighting</t>
        </is>
      </c>
      <c r="C17" s="9" t="inlineStr">
        <is>
          <t>Designer fixtures + chandeliers + smart lights</t>
        </is>
      </c>
      <c r="D17" s="10" t="inlineStr">
        <is>
          <t>Philips Hue + Jaquar</t>
        </is>
      </c>
      <c r="E17" s="8" t="inlineStr">
        <is>
          <t>set</t>
        </is>
      </c>
      <c r="F17" s="11" t="n">
        <v>1</v>
      </c>
      <c r="G17" s="12" t="n">
        <v>95000</v>
      </c>
      <c r="H17" s="13">
        <f>F17*G17</f>
        <v/>
      </c>
    </row>
    <row r="18">
      <c r="A18" s="14" t="n">
        <v>14</v>
      </c>
      <c r="B18" s="15" t="inlineStr">
        <is>
          <t>Electrical</t>
        </is>
      </c>
      <c r="C18" s="15" t="inlineStr">
        <is>
          <t>Full rewiring + modular + smart switches</t>
        </is>
      </c>
      <c r="D18" s="16" t="inlineStr">
        <is>
          <t>Legrand + Anchor smart</t>
        </is>
      </c>
      <c r="E18" s="14" t="inlineStr">
        <is>
          <t>point</t>
        </is>
      </c>
      <c r="F18" s="17" t="n">
        <v>72</v>
      </c>
      <c r="G18" s="18" t="n">
        <v>1100</v>
      </c>
      <c r="H18" s="19">
        <f>F18*G18</f>
        <v/>
      </c>
    </row>
    <row r="19">
      <c r="A19" s="8" t="n">
        <v>15</v>
      </c>
      <c r="B19" s="9" t="inlineStr">
        <is>
          <t>AC / curtains</t>
        </is>
      </c>
      <c r="C19" s="9" t="inlineStr">
        <is>
          <t>Curtain rods + sheer + blackout</t>
        </is>
      </c>
      <c r="D19" s="10" t="inlineStr">
        <is>
          <t>Tirupur fabric</t>
        </is>
      </c>
      <c r="E19" s="8" t="inlineStr">
        <is>
          <t>rft</t>
        </is>
      </c>
      <c r="F19" s="11" t="n">
        <v>60</v>
      </c>
      <c r="G19" s="12" t="n">
        <v>850</v>
      </c>
      <c r="H19" s="13">
        <f>F19*G19</f>
        <v/>
      </c>
    </row>
    <row r="21">
      <c r="G21" s="20" t="inlineStr">
        <is>
          <t>Subtotal</t>
        </is>
      </c>
      <c r="H21" s="21">
        <f>SUM(H5:H19)</f>
        <v/>
      </c>
    </row>
    <row r="22">
      <c r="G22" s="22" t="inlineStr">
        <is>
          <t>Discount %</t>
        </is>
      </c>
      <c r="H22" s="23" t="n">
        <v>0</v>
      </c>
    </row>
    <row r="23">
      <c r="G23" s="22" t="inlineStr">
        <is>
          <t>After discount</t>
        </is>
      </c>
      <c r="H23" s="24">
        <f>H21*(1-H22)</f>
        <v/>
      </c>
    </row>
    <row r="24">
      <c r="G24" s="22" t="inlineStr">
        <is>
          <t>GST 18%</t>
        </is>
      </c>
      <c r="H24" s="24">
        <f>H23*0.18</f>
        <v/>
      </c>
    </row>
    <row r="25">
      <c r="G25" s="25" t="inlineStr">
        <is>
          <t>Grand total</t>
        </is>
      </c>
      <c r="H25" s="26">
        <f>H23+H24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Modular Kitchen</t>
        </is>
      </c>
    </row>
    <row r="2">
      <c r="A2" s="6" t="inlineStr">
        <is>
          <t>Standalone modular kitchen quote · all configurations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Base</t>
        </is>
      </c>
      <c r="C5" s="9" t="inlineStr">
        <is>
          <t>Carcass 18mm BWP</t>
        </is>
      </c>
      <c r="D5" s="10" t="inlineStr">
        <is>
          <t>Greenply 710 BWP</t>
        </is>
      </c>
      <c r="E5" s="8" t="inlineStr">
        <is>
          <t>sqft</t>
        </is>
      </c>
      <c r="F5" s="11" t="n">
        <v>60</v>
      </c>
      <c r="G5" s="12" t="n">
        <v>850</v>
      </c>
      <c r="H5" s="13">
        <f>F5*G5</f>
        <v/>
      </c>
    </row>
    <row r="6">
      <c r="A6" s="14" t="n">
        <v>2</v>
      </c>
      <c r="B6" s="15" t="inlineStr">
        <is>
          <t>Base</t>
        </is>
      </c>
      <c r="C6" s="15" t="inlineStr">
        <is>
          <t>Shutters — 0.8mm laminate finish</t>
        </is>
      </c>
      <c r="D6" s="16" t="inlineStr">
        <is>
          <t>Merino / Royale Touche</t>
        </is>
      </c>
      <c r="E6" s="14" t="inlineStr">
        <is>
          <t>sqft</t>
        </is>
      </c>
      <c r="F6" s="17" t="n">
        <v>60</v>
      </c>
      <c r="G6" s="18" t="n">
        <v>380</v>
      </c>
      <c r="H6" s="19">
        <f>F6*G6</f>
        <v/>
      </c>
    </row>
    <row r="7">
      <c r="A7" s="8" t="n">
        <v>3</v>
      </c>
      <c r="B7" s="9" t="inlineStr">
        <is>
          <t>Wall</t>
        </is>
      </c>
      <c r="C7" s="9" t="inlineStr">
        <is>
          <t>Wall units 18mm BWP carcass</t>
        </is>
      </c>
      <c r="D7" s="10" t="inlineStr">
        <is>
          <t>Greenply 710 BWP</t>
        </is>
      </c>
      <c r="E7" s="8" t="inlineStr">
        <is>
          <t>sqft</t>
        </is>
      </c>
      <c r="F7" s="11" t="n">
        <v>35</v>
      </c>
      <c r="G7" s="12" t="n">
        <v>850</v>
      </c>
      <c r="H7" s="13">
        <f>F7*G7</f>
        <v/>
      </c>
    </row>
    <row r="8">
      <c r="A8" s="14" t="n">
        <v>4</v>
      </c>
      <c r="B8" s="15" t="inlineStr">
        <is>
          <t>Wall</t>
        </is>
      </c>
      <c r="C8" s="15" t="inlineStr">
        <is>
          <t>Lift-up shutters with Hettich Free fold</t>
        </is>
      </c>
      <c r="D8" s="16" t="inlineStr">
        <is>
          <t>Hettich Free Fold</t>
        </is>
      </c>
      <c r="E8" s="14" t="inlineStr">
        <is>
          <t>nos</t>
        </is>
      </c>
      <c r="F8" s="17" t="n">
        <v>4</v>
      </c>
      <c r="G8" s="18" t="n">
        <v>8500</v>
      </c>
      <c r="H8" s="19">
        <f>F8*G8</f>
        <v/>
      </c>
    </row>
    <row r="9">
      <c r="A9" s="8" t="n">
        <v>5</v>
      </c>
      <c r="B9" s="9" t="inlineStr">
        <is>
          <t>Tall</t>
        </is>
      </c>
      <c r="C9" s="9" t="inlineStr">
        <is>
          <t>Tall unit pantry — 2ft x 8ft</t>
        </is>
      </c>
      <c r="D9" s="10" t="inlineStr">
        <is>
          <t>Greenply BWP</t>
        </is>
      </c>
      <c r="E9" s="8" t="inlineStr">
        <is>
          <t>sqft</t>
        </is>
      </c>
      <c r="F9" s="11" t="n">
        <v>16</v>
      </c>
      <c r="G9" s="12" t="n">
        <v>1650</v>
      </c>
      <c r="H9" s="13">
        <f>F9*G9</f>
        <v/>
      </c>
    </row>
    <row r="10">
      <c r="A10" s="14" t="n">
        <v>6</v>
      </c>
      <c r="B10" s="15" t="inlineStr">
        <is>
          <t>Hardware</t>
        </is>
      </c>
      <c r="C10" s="15" t="inlineStr">
        <is>
          <t>Soft-close hinges (Hettich)</t>
        </is>
      </c>
      <c r="D10" s="16" t="inlineStr">
        <is>
          <t>Hettich Sensys</t>
        </is>
      </c>
      <c r="E10" s="14" t="inlineStr">
        <is>
          <t>nos</t>
        </is>
      </c>
      <c r="F10" s="17" t="n">
        <v>60</v>
      </c>
      <c r="G10" s="18" t="n">
        <v>250</v>
      </c>
      <c r="H10" s="19">
        <f>F10*G10</f>
        <v/>
      </c>
    </row>
    <row r="11">
      <c r="A11" s="8" t="n">
        <v>7</v>
      </c>
      <c r="B11" s="9" t="inlineStr">
        <is>
          <t>Hardware</t>
        </is>
      </c>
      <c r="C11" s="9" t="inlineStr">
        <is>
          <t>Channels — soft close, full extension</t>
        </is>
      </c>
      <c r="D11" s="10" t="inlineStr">
        <is>
          <t>Hettich Quadro</t>
        </is>
      </c>
      <c r="E11" s="8" t="inlineStr">
        <is>
          <t>pair</t>
        </is>
      </c>
      <c r="F11" s="11" t="n">
        <v>12</v>
      </c>
      <c r="G11" s="12" t="n">
        <v>850</v>
      </c>
      <c r="H11" s="13">
        <f>F11*G11</f>
        <v/>
      </c>
    </row>
    <row r="12">
      <c r="A12" s="14" t="n">
        <v>8</v>
      </c>
      <c r="B12" s="15" t="inlineStr">
        <is>
          <t>Hardware</t>
        </is>
      </c>
      <c r="C12" s="15" t="inlineStr">
        <is>
          <t>Cutlery, plate, bottle pull-out organisers</t>
        </is>
      </c>
      <c r="D12" s="16" t="inlineStr">
        <is>
          <t>Hettich Cargo</t>
        </is>
      </c>
      <c r="E12" s="14" t="inlineStr">
        <is>
          <t>set</t>
        </is>
      </c>
      <c r="F12" s="17" t="n">
        <v>6</v>
      </c>
      <c r="G12" s="18" t="n">
        <v>4500</v>
      </c>
      <c r="H12" s="19">
        <f>F12*G12</f>
        <v/>
      </c>
    </row>
    <row r="13">
      <c r="A13" s="8" t="n">
        <v>9</v>
      </c>
      <c r="B13" s="9" t="inlineStr">
        <is>
          <t>Counter</t>
        </is>
      </c>
      <c r="C13" s="9" t="inlineStr">
        <is>
          <t>Granite — Black Galaxy 20mm</t>
        </is>
      </c>
      <c r="D13" s="10" t="inlineStr">
        <is>
          <t>Black Galaxy</t>
        </is>
      </c>
      <c r="E13" s="8" t="inlineStr">
        <is>
          <t>rft</t>
        </is>
      </c>
      <c r="F13" s="11" t="n">
        <v>10</v>
      </c>
      <c r="G13" s="12" t="n">
        <v>950</v>
      </c>
      <c r="H13" s="13">
        <f>F13*G13</f>
        <v/>
      </c>
    </row>
    <row r="14">
      <c r="A14" s="14" t="n">
        <v>10</v>
      </c>
      <c r="B14" s="15" t="inlineStr">
        <is>
          <t>Backsplash</t>
        </is>
      </c>
      <c r="C14" s="15" t="inlineStr">
        <is>
          <t>Ceramic dado / lacquered glass</t>
        </is>
      </c>
      <c r="D14" s="16" t="inlineStr">
        <is>
          <t>Kajaria / Saint-Gobain</t>
        </is>
      </c>
      <c r="E14" s="14" t="inlineStr">
        <is>
          <t>sqft</t>
        </is>
      </c>
      <c r="F14" s="17" t="n">
        <v>35</v>
      </c>
      <c r="G14" s="18" t="n">
        <v>280</v>
      </c>
      <c r="H14" s="19">
        <f>F14*G14</f>
        <v/>
      </c>
    </row>
    <row r="15">
      <c r="A15" s="8" t="n">
        <v>11</v>
      </c>
      <c r="B15" s="9" t="inlineStr">
        <is>
          <t>Sink</t>
        </is>
      </c>
      <c r="C15" s="9" t="inlineStr">
        <is>
          <t>Stainless steel double bowl</t>
        </is>
      </c>
      <c r="D15" s="10" t="inlineStr">
        <is>
          <t>Nirali / Carysil</t>
        </is>
      </c>
      <c r="E15" s="8" t="inlineStr">
        <is>
          <t>nos</t>
        </is>
      </c>
      <c r="F15" s="11" t="n">
        <v>1</v>
      </c>
      <c r="G15" s="12" t="n">
        <v>8500</v>
      </c>
      <c r="H15" s="13">
        <f>F15*G15</f>
        <v/>
      </c>
    </row>
    <row r="16">
      <c r="A16" s="14" t="n">
        <v>12</v>
      </c>
      <c r="B16" s="15" t="inlineStr">
        <is>
          <t>Tap</t>
        </is>
      </c>
      <c r="C16" s="15" t="inlineStr">
        <is>
          <t>Pull-out spray</t>
        </is>
      </c>
      <c r="D16" s="16" t="inlineStr">
        <is>
          <t>Jaquar Florentine</t>
        </is>
      </c>
      <c r="E16" s="14" t="inlineStr">
        <is>
          <t>nos</t>
        </is>
      </c>
      <c r="F16" s="17" t="n">
        <v>1</v>
      </c>
      <c r="G16" s="18" t="n">
        <v>7500</v>
      </c>
      <c r="H16" s="19">
        <f>F16*G16</f>
        <v/>
      </c>
    </row>
    <row r="17">
      <c r="A17" s="8" t="n">
        <v>13</v>
      </c>
      <c r="B17" s="9" t="inlineStr">
        <is>
          <t>Chimney</t>
        </is>
      </c>
      <c r="C17" s="9" t="inlineStr">
        <is>
          <t>Auto-clean 90cm</t>
        </is>
      </c>
      <c r="D17" s="10" t="inlineStr">
        <is>
          <t>Faber / Elica</t>
        </is>
      </c>
      <c r="E17" s="8" t="inlineStr">
        <is>
          <t>nos</t>
        </is>
      </c>
      <c r="F17" s="11" t="n">
        <v>1</v>
      </c>
      <c r="G17" s="12" t="n">
        <v>22000</v>
      </c>
      <c r="H17" s="13">
        <f>F17*G17</f>
        <v/>
      </c>
    </row>
    <row r="18">
      <c r="A18" s="14" t="n">
        <v>14</v>
      </c>
      <c r="B18" s="15" t="inlineStr">
        <is>
          <t>Hob</t>
        </is>
      </c>
      <c r="C18" s="15" t="inlineStr">
        <is>
          <t>4-burner glass top</t>
        </is>
      </c>
      <c r="D18" s="16" t="inlineStr">
        <is>
          <t>Faber / Glen</t>
        </is>
      </c>
      <c r="E18" s="14" t="inlineStr">
        <is>
          <t>nos</t>
        </is>
      </c>
      <c r="F18" s="17" t="n">
        <v>1</v>
      </c>
      <c r="G18" s="18" t="n">
        <v>14000</v>
      </c>
      <c r="H18" s="19">
        <f>F18*G18</f>
        <v/>
      </c>
    </row>
    <row r="20">
      <c r="G20" s="20" t="inlineStr">
        <is>
          <t>Subtotal</t>
        </is>
      </c>
      <c r="H20" s="21">
        <f>SUM(H5:H18)</f>
        <v/>
      </c>
    </row>
    <row r="21">
      <c r="G21" s="22" t="inlineStr">
        <is>
          <t>Discount %</t>
        </is>
      </c>
      <c r="H21" s="23" t="n">
        <v>0</v>
      </c>
    </row>
    <row r="22">
      <c r="G22" s="22" t="inlineStr">
        <is>
          <t>After discount</t>
        </is>
      </c>
      <c r="H22" s="24">
        <f>H20*(1-H21)</f>
        <v/>
      </c>
    </row>
    <row r="23">
      <c r="G23" s="22" t="inlineStr">
        <is>
          <t>GST 18%</t>
        </is>
      </c>
      <c r="H23" s="24">
        <f>H22*0.18</f>
        <v/>
      </c>
    </row>
    <row r="24">
      <c r="G24" s="25" t="inlineStr">
        <is>
          <t>Grand total</t>
        </is>
      </c>
      <c r="H24" s="26">
        <f>H22+H23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Wardrobe</t>
        </is>
      </c>
    </row>
    <row r="2">
      <c r="A2" s="6" t="inlineStr">
        <is>
          <t>Wardrobe-only quote · sliding &amp; hinged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Carcass</t>
        </is>
      </c>
      <c r="C5" s="9" t="inlineStr">
        <is>
          <t>18mm BWP plywood</t>
        </is>
      </c>
      <c r="D5" s="10" t="inlineStr">
        <is>
          <t>Greenply 710 BWP</t>
        </is>
      </c>
      <c r="E5" s="8" t="inlineStr">
        <is>
          <t>sqft</t>
        </is>
      </c>
      <c r="F5" s="11" t="n">
        <v>60</v>
      </c>
      <c r="G5" s="12" t="n">
        <v>880</v>
      </c>
      <c r="H5" s="13">
        <f>F5*G5</f>
        <v/>
      </c>
    </row>
    <row r="6">
      <c r="A6" s="14" t="n">
        <v>2</v>
      </c>
      <c r="B6" s="15" t="inlineStr">
        <is>
          <t>Shutter</t>
        </is>
      </c>
      <c r="C6" s="15" t="inlineStr">
        <is>
          <t>Hinged 18mm shutter laminate finish</t>
        </is>
      </c>
      <c r="D6" s="16" t="inlineStr">
        <is>
          <t>Merino</t>
        </is>
      </c>
      <c r="E6" s="14" t="inlineStr">
        <is>
          <t>sqft</t>
        </is>
      </c>
      <c r="F6" s="17" t="n">
        <v>56</v>
      </c>
      <c r="G6" s="18" t="n">
        <v>420</v>
      </c>
      <c r="H6" s="19">
        <f>F6*G6</f>
        <v/>
      </c>
    </row>
    <row r="7">
      <c r="A7" s="8" t="n">
        <v>3</v>
      </c>
      <c r="B7" s="9" t="inlineStr">
        <is>
          <t>Shutter</t>
        </is>
      </c>
      <c r="C7" s="9" t="inlineStr">
        <is>
          <t>Sliding 2-track top + bottom</t>
        </is>
      </c>
      <c r="D7" s="10" t="inlineStr">
        <is>
          <t>Hettich Top Line L</t>
        </is>
      </c>
      <c r="E7" s="8" t="inlineStr">
        <is>
          <t>set</t>
        </is>
      </c>
      <c r="F7" s="11" t="n">
        <v>1</v>
      </c>
      <c r="G7" s="12" t="n">
        <v>18500</v>
      </c>
      <c r="H7" s="13">
        <f>F7*G7</f>
        <v/>
      </c>
    </row>
    <row r="8">
      <c r="A8" s="14" t="n">
        <v>4</v>
      </c>
      <c r="B8" s="15" t="inlineStr">
        <is>
          <t>Internals</t>
        </is>
      </c>
      <c r="C8" s="15" t="inlineStr">
        <is>
          <t>Hanging rod + soft pull-out drawer</t>
        </is>
      </c>
      <c r="D8" s="16" t="inlineStr">
        <is>
          <t>Hettich + brass rod</t>
        </is>
      </c>
      <c r="E8" s="14" t="inlineStr">
        <is>
          <t>nos</t>
        </is>
      </c>
      <c r="F8" s="17" t="n">
        <v>4</v>
      </c>
      <c r="G8" s="18" t="n">
        <v>1850</v>
      </c>
      <c r="H8" s="19">
        <f>F8*G8</f>
        <v/>
      </c>
    </row>
    <row r="9">
      <c r="A9" s="8" t="n">
        <v>5</v>
      </c>
      <c r="B9" s="9" t="inlineStr">
        <is>
          <t>Hardware</t>
        </is>
      </c>
      <c r="C9" s="9" t="inlineStr">
        <is>
          <t>Soft-close hinges</t>
        </is>
      </c>
      <c r="D9" s="10" t="inlineStr">
        <is>
          <t>Hettich Sensys</t>
        </is>
      </c>
      <c r="E9" s="8" t="inlineStr">
        <is>
          <t>nos</t>
        </is>
      </c>
      <c r="F9" s="11" t="n">
        <v>24</v>
      </c>
      <c r="G9" s="12" t="n">
        <v>250</v>
      </c>
      <c r="H9" s="13">
        <f>F9*G9</f>
        <v/>
      </c>
    </row>
    <row r="10">
      <c r="A10" s="14" t="n">
        <v>6</v>
      </c>
      <c r="B10" s="15" t="inlineStr">
        <is>
          <t>Hardware</t>
        </is>
      </c>
      <c r="C10" s="15" t="inlineStr">
        <is>
          <t>Lock + handles</t>
        </is>
      </c>
      <c r="D10" s="16" t="inlineStr">
        <is>
          <t>Ebco / Hafele</t>
        </is>
      </c>
      <c r="E10" s="14" t="inlineStr">
        <is>
          <t>set</t>
        </is>
      </c>
      <c r="F10" s="17" t="n">
        <v>1</v>
      </c>
      <c r="G10" s="18" t="n">
        <v>3500</v>
      </c>
      <c r="H10" s="19">
        <f>F10*G10</f>
        <v/>
      </c>
    </row>
    <row r="11">
      <c r="A11" s="8" t="n">
        <v>7</v>
      </c>
      <c r="B11" s="9" t="inlineStr">
        <is>
          <t>Mirror</t>
        </is>
      </c>
      <c r="C11" s="9" t="inlineStr">
        <is>
          <t>Full-length inside mirror</t>
        </is>
      </c>
      <c r="D11" s="10" t="inlineStr">
        <is>
          <t>Saint-Gobain</t>
        </is>
      </c>
      <c r="E11" s="8" t="inlineStr">
        <is>
          <t>nos</t>
        </is>
      </c>
      <c r="F11" s="11" t="n">
        <v>1</v>
      </c>
      <c r="G11" s="12" t="n">
        <v>4800</v>
      </c>
      <c r="H11" s="13">
        <f>F11*G11</f>
        <v/>
      </c>
    </row>
    <row r="12">
      <c r="A12" s="14" t="n">
        <v>8</v>
      </c>
      <c r="B12" s="15" t="inlineStr">
        <is>
          <t>LED</t>
        </is>
      </c>
      <c r="C12" s="15" t="inlineStr">
        <is>
          <t>Auto sensor LED inside</t>
        </is>
      </c>
      <c r="D12" s="16" t="inlineStr">
        <is>
          <t>Philips strip</t>
        </is>
      </c>
      <c r="E12" s="14" t="inlineStr">
        <is>
          <t>rft</t>
        </is>
      </c>
      <c r="F12" s="17" t="n">
        <v>12</v>
      </c>
      <c r="G12" s="18" t="n">
        <v>350</v>
      </c>
      <c r="H12" s="19">
        <f>F12*G12</f>
        <v/>
      </c>
    </row>
    <row r="14">
      <c r="G14" s="20" t="inlineStr">
        <is>
          <t>Subtotal</t>
        </is>
      </c>
      <c r="H14" s="21">
        <f>SUM(H5:H12)</f>
        <v/>
      </c>
    </row>
    <row r="15">
      <c r="G15" s="22" t="inlineStr">
        <is>
          <t>Discount %</t>
        </is>
      </c>
      <c r="H15" s="23" t="n">
        <v>0</v>
      </c>
    </row>
    <row r="16">
      <c r="G16" s="22" t="inlineStr">
        <is>
          <t>After discount</t>
        </is>
      </c>
      <c r="H16" s="24">
        <f>H14*(1-H15)</f>
        <v/>
      </c>
    </row>
    <row r="17">
      <c r="G17" s="22" t="inlineStr">
        <is>
          <t>GST 18%</t>
        </is>
      </c>
      <c r="H17" s="24">
        <f>H16*0.18</f>
        <v/>
      </c>
    </row>
    <row r="18">
      <c r="G18" s="25" t="inlineStr">
        <is>
          <t>Grand total</t>
        </is>
      </c>
      <c r="H18" s="26">
        <f>H16+H17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False Ceiling</t>
        </is>
      </c>
    </row>
    <row r="2">
      <c r="A2" s="6" t="inlineStr">
        <is>
          <t>Per-sqft false ceiling rates · POP, gypsum, cove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POP</t>
        </is>
      </c>
      <c r="C5" s="9" t="inlineStr">
        <is>
          <t>Plain POP false ceiling</t>
        </is>
      </c>
      <c r="D5" s="10" t="inlineStr">
        <is>
          <t>Asian Paints / Saint-Gobain</t>
        </is>
      </c>
      <c r="E5" s="8" t="inlineStr">
        <is>
          <t>sqft</t>
        </is>
      </c>
      <c r="F5" s="11" t="n">
        <v>100</v>
      </c>
      <c r="G5" s="12" t="n">
        <v>75</v>
      </c>
      <c r="H5" s="13">
        <f>F5*G5</f>
        <v/>
      </c>
    </row>
    <row r="6">
      <c r="A6" s="14" t="n">
        <v>2</v>
      </c>
      <c r="B6" s="15" t="inlineStr">
        <is>
          <t>POP</t>
        </is>
      </c>
      <c r="C6" s="15" t="inlineStr">
        <is>
          <t>Designer POP with cove</t>
        </is>
      </c>
      <c r="D6" s="16" t="inlineStr">
        <is>
          <t>Saint-Gobain Gyproc</t>
        </is>
      </c>
      <c r="E6" s="14" t="inlineStr">
        <is>
          <t>sqft</t>
        </is>
      </c>
      <c r="F6" s="17" t="n">
        <v>100</v>
      </c>
      <c r="G6" s="18" t="n">
        <v>95</v>
      </c>
      <c r="H6" s="19">
        <f>F6*G6</f>
        <v/>
      </c>
    </row>
    <row r="7">
      <c r="A7" s="8" t="n">
        <v>3</v>
      </c>
      <c r="B7" s="9" t="inlineStr">
        <is>
          <t>Gypsum</t>
        </is>
      </c>
      <c r="C7" s="9" t="inlineStr">
        <is>
          <t>Gypsum board + framing 12.5mm</t>
        </is>
      </c>
      <c r="D7" s="10" t="inlineStr">
        <is>
          <t>Gyproc Habito</t>
        </is>
      </c>
      <c r="E7" s="8" t="inlineStr">
        <is>
          <t>sqft</t>
        </is>
      </c>
      <c r="F7" s="11" t="n">
        <v>100</v>
      </c>
      <c r="G7" s="12" t="n">
        <v>85</v>
      </c>
      <c r="H7" s="13">
        <f>F7*G7</f>
        <v/>
      </c>
    </row>
    <row r="8">
      <c r="A8" s="14" t="n">
        <v>4</v>
      </c>
      <c r="B8" s="15" t="inlineStr">
        <is>
          <t>Gypsum</t>
        </is>
      </c>
      <c r="C8" s="15" t="inlineStr">
        <is>
          <t>Gypsum + cove + spot light cuts</t>
        </is>
      </c>
      <c r="D8" s="16" t="inlineStr">
        <is>
          <t>Gyproc + LED cuts</t>
        </is>
      </c>
      <c r="E8" s="14" t="inlineStr">
        <is>
          <t>sqft</t>
        </is>
      </c>
      <c r="F8" s="17" t="n">
        <v>100</v>
      </c>
      <c r="G8" s="18" t="n">
        <v>115</v>
      </c>
      <c r="H8" s="19">
        <f>F8*G8</f>
        <v/>
      </c>
    </row>
    <row r="9">
      <c r="A9" s="8" t="n">
        <v>5</v>
      </c>
      <c r="B9" s="9" t="inlineStr">
        <is>
          <t>Wood</t>
        </is>
      </c>
      <c r="C9" s="9" t="inlineStr">
        <is>
          <t>Wooden ceiling bands (teak veneer)</t>
        </is>
      </c>
      <c r="D9" s="10" t="inlineStr">
        <is>
          <t>Greenlam / Merino</t>
        </is>
      </c>
      <c r="E9" s="8" t="inlineStr">
        <is>
          <t>sqft</t>
        </is>
      </c>
      <c r="F9" s="11" t="n">
        <v>100</v>
      </c>
      <c r="G9" s="12" t="n">
        <v>480</v>
      </c>
      <c r="H9" s="13">
        <f>F9*G9</f>
        <v/>
      </c>
    </row>
    <row r="10">
      <c r="A10" s="14" t="n">
        <v>6</v>
      </c>
      <c r="B10" s="15" t="inlineStr">
        <is>
          <t>Cove</t>
        </is>
      </c>
      <c r="C10" s="15" t="inlineStr">
        <is>
          <t>Plaster cove only — perimeter</t>
        </is>
      </c>
      <c r="D10" s="16" t="inlineStr">
        <is>
          <t>POP cove</t>
        </is>
      </c>
      <c r="E10" s="14" t="inlineStr">
        <is>
          <t>rft</t>
        </is>
      </c>
      <c r="F10" s="17" t="n">
        <v>60</v>
      </c>
      <c r="G10" s="18" t="n">
        <v>65</v>
      </c>
      <c r="H10" s="19">
        <f>F10*G10</f>
        <v/>
      </c>
    </row>
    <row r="11">
      <c r="A11" s="8" t="n">
        <v>7</v>
      </c>
      <c r="B11" s="9" t="inlineStr">
        <is>
          <t>LED</t>
        </is>
      </c>
      <c r="C11" s="9" t="inlineStr">
        <is>
          <t>LED strip 5m within cove</t>
        </is>
      </c>
      <c r="D11" s="10" t="inlineStr">
        <is>
          <t>Philips / Wipro</t>
        </is>
      </c>
      <c r="E11" s="8" t="inlineStr">
        <is>
          <t>rft</t>
        </is>
      </c>
      <c r="F11" s="11" t="n">
        <v>60</v>
      </c>
      <c r="G11" s="12" t="n">
        <v>85</v>
      </c>
      <c r="H11" s="13">
        <f>F11*G11</f>
        <v/>
      </c>
    </row>
    <row r="12">
      <c r="A12" s="14" t="n">
        <v>8</v>
      </c>
      <c r="B12" s="15" t="inlineStr">
        <is>
          <t>Spot</t>
        </is>
      </c>
      <c r="C12" s="15" t="inlineStr">
        <is>
          <t>LED spot lights — round 4 inch</t>
        </is>
      </c>
      <c r="D12" s="16" t="inlineStr">
        <is>
          <t>Wipro Garnet</t>
        </is>
      </c>
      <c r="E12" s="14" t="inlineStr">
        <is>
          <t>nos</t>
        </is>
      </c>
      <c r="F12" s="17" t="n">
        <v>24</v>
      </c>
      <c r="G12" s="18" t="n">
        <v>350</v>
      </c>
      <c r="H12" s="19">
        <f>F12*G12</f>
        <v/>
      </c>
    </row>
    <row r="14">
      <c r="G14" s="20" t="inlineStr">
        <is>
          <t>Subtotal</t>
        </is>
      </c>
      <c r="H14" s="21">
        <f>SUM(H5:H12)</f>
        <v/>
      </c>
    </row>
    <row r="15">
      <c r="G15" s="22" t="inlineStr">
        <is>
          <t>Discount %</t>
        </is>
      </c>
      <c r="H15" s="23" t="n">
        <v>0</v>
      </c>
    </row>
    <row r="16">
      <c r="G16" s="22" t="inlineStr">
        <is>
          <t>After discount</t>
        </is>
      </c>
      <c r="H16" s="24">
        <f>H14*(1-H15)</f>
        <v/>
      </c>
    </row>
    <row r="17">
      <c r="G17" s="22" t="inlineStr">
        <is>
          <t>GST 18%</t>
        </is>
      </c>
      <c r="H17" s="24">
        <f>H16*0.18</f>
        <v/>
      </c>
    </row>
    <row r="18">
      <c r="G18" s="25" t="inlineStr">
        <is>
          <t>Grand total</t>
        </is>
      </c>
      <c r="H18" s="26">
        <f>H16+H17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Painting</t>
        </is>
      </c>
    </row>
    <row r="2">
      <c r="A2" s="6" t="inlineStr">
        <is>
          <t>Per-sqft painting rates · putty, primer, finish coats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Prep</t>
        </is>
      </c>
      <c r="C5" s="9" t="inlineStr">
        <is>
          <t>Surface prep + 1 coat putty</t>
        </is>
      </c>
      <c r="D5" s="10" t="inlineStr">
        <is>
          <t>Birla White</t>
        </is>
      </c>
      <c r="E5" s="8" t="inlineStr">
        <is>
          <t>sqft</t>
        </is>
      </c>
      <c r="F5" s="11" t="n">
        <v>1000</v>
      </c>
      <c r="G5" s="12" t="n">
        <v>12</v>
      </c>
      <c r="H5" s="13">
        <f>F5*G5</f>
        <v/>
      </c>
    </row>
    <row r="6">
      <c r="A6" s="14" t="n">
        <v>2</v>
      </c>
      <c r="B6" s="15" t="inlineStr">
        <is>
          <t>Prep</t>
        </is>
      </c>
      <c r="C6" s="15" t="inlineStr">
        <is>
          <t>Putty 2 coats + sanding</t>
        </is>
      </c>
      <c r="D6" s="16" t="inlineStr">
        <is>
          <t>Birla White Wallcare</t>
        </is>
      </c>
      <c r="E6" s="14" t="inlineStr">
        <is>
          <t>sqft</t>
        </is>
      </c>
      <c r="F6" s="17" t="n">
        <v>1000</v>
      </c>
      <c r="G6" s="18" t="n">
        <v>18</v>
      </c>
      <c r="H6" s="19">
        <f>F6*G6</f>
        <v/>
      </c>
    </row>
    <row r="7">
      <c r="A7" s="8" t="n">
        <v>3</v>
      </c>
      <c r="B7" s="9" t="inlineStr">
        <is>
          <t>Primer</t>
        </is>
      </c>
      <c r="C7" s="9" t="inlineStr">
        <is>
          <t>Acrylic primer water-based</t>
        </is>
      </c>
      <c r="D7" s="10" t="inlineStr">
        <is>
          <t>Asian Paints</t>
        </is>
      </c>
      <c r="E7" s="8" t="inlineStr">
        <is>
          <t>sqft</t>
        </is>
      </c>
      <c r="F7" s="11" t="n">
        <v>1000</v>
      </c>
      <c r="G7" s="12" t="n">
        <v>6</v>
      </c>
      <c r="H7" s="13">
        <f>F7*G7</f>
        <v/>
      </c>
    </row>
    <row r="8">
      <c r="A8" s="14" t="n">
        <v>4</v>
      </c>
      <c r="B8" s="15" t="inlineStr">
        <is>
          <t>Finish</t>
        </is>
      </c>
      <c r="C8" s="15" t="inlineStr">
        <is>
          <t>Tractor emulsion 2 coats</t>
        </is>
      </c>
      <c r="D8" s="16" t="inlineStr">
        <is>
          <t>Asian Paints Tractor</t>
        </is>
      </c>
      <c r="E8" s="14" t="inlineStr">
        <is>
          <t>sqft</t>
        </is>
      </c>
      <c r="F8" s="17" t="n">
        <v>1000</v>
      </c>
      <c r="G8" s="18" t="n">
        <v>14</v>
      </c>
      <c r="H8" s="19">
        <f>F8*G8</f>
        <v/>
      </c>
    </row>
    <row r="9">
      <c r="A9" s="8" t="n">
        <v>5</v>
      </c>
      <c r="B9" s="9" t="inlineStr">
        <is>
          <t>Finish</t>
        </is>
      </c>
      <c r="C9" s="9" t="inlineStr">
        <is>
          <t>Premium emulsion (Apex / Royale)</t>
        </is>
      </c>
      <c r="D9" s="10" t="inlineStr">
        <is>
          <t>Asian Paints Royale</t>
        </is>
      </c>
      <c r="E9" s="8" t="inlineStr">
        <is>
          <t>sqft</t>
        </is>
      </c>
      <c r="F9" s="11" t="n">
        <v>1000</v>
      </c>
      <c r="G9" s="12" t="n">
        <v>22</v>
      </c>
      <c r="H9" s="13">
        <f>F9*G9</f>
        <v/>
      </c>
    </row>
    <row r="10">
      <c r="A10" s="14" t="n">
        <v>6</v>
      </c>
      <c r="B10" s="15" t="inlineStr">
        <is>
          <t>Finish</t>
        </is>
      </c>
      <c r="C10" s="15" t="inlineStr">
        <is>
          <t>Royale Luxury Sheen / Aspira</t>
        </is>
      </c>
      <c r="D10" s="16" t="inlineStr">
        <is>
          <t>Asian Royale</t>
        </is>
      </c>
      <c r="E10" s="14" t="inlineStr">
        <is>
          <t>sqft</t>
        </is>
      </c>
      <c r="F10" s="17" t="n">
        <v>1000</v>
      </c>
      <c r="G10" s="18" t="n">
        <v>32</v>
      </c>
      <c r="H10" s="19">
        <f>F10*G10</f>
        <v/>
      </c>
    </row>
    <row r="11">
      <c r="A11" s="8" t="n">
        <v>7</v>
      </c>
      <c r="B11" s="9" t="inlineStr">
        <is>
          <t>Texture</t>
        </is>
      </c>
      <c r="C11" s="9" t="inlineStr">
        <is>
          <t>Royale Play textured wall</t>
        </is>
      </c>
      <c r="D11" s="10" t="inlineStr">
        <is>
          <t>Asian Royale Play</t>
        </is>
      </c>
      <c r="E11" s="8" t="inlineStr">
        <is>
          <t>sqft</t>
        </is>
      </c>
      <c r="F11" s="11" t="n">
        <v>80</v>
      </c>
      <c r="G11" s="12" t="n">
        <v>95</v>
      </c>
      <c r="H11" s="13">
        <f>F11*G11</f>
        <v/>
      </c>
    </row>
    <row r="12">
      <c r="A12" s="14" t="n">
        <v>8</v>
      </c>
      <c r="B12" s="15" t="inlineStr">
        <is>
          <t>Wood polish</t>
        </is>
      </c>
      <c r="C12" s="15" t="inlineStr">
        <is>
          <t>Melamine spray polish</t>
        </is>
      </c>
      <c r="D12" s="16" t="inlineStr">
        <is>
          <t>MRF / ICA</t>
        </is>
      </c>
      <c r="E12" s="14" t="inlineStr">
        <is>
          <t>sqft</t>
        </is>
      </c>
      <c r="F12" s="17" t="n">
        <v>60</v>
      </c>
      <c r="G12" s="18" t="n">
        <v>95</v>
      </c>
      <c r="H12" s="19">
        <f>F12*G12</f>
        <v/>
      </c>
    </row>
    <row r="13">
      <c r="A13" s="8" t="n">
        <v>9</v>
      </c>
      <c r="B13" s="9" t="inlineStr">
        <is>
          <t>Exterior</t>
        </is>
      </c>
      <c r="C13" s="9" t="inlineStr">
        <is>
          <t>Apex Ultima exterior</t>
        </is>
      </c>
      <c r="D13" s="10" t="inlineStr">
        <is>
          <t>Apex Ultima</t>
        </is>
      </c>
      <c r="E13" s="8" t="inlineStr">
        <is>
          <t>sqft</t>
        </is>
      </c>
      <c r="F13" s="11" t="n">
        <v>500</v>
      </c>
      <c r="G13" s="12" t="n">
        <v>38</v>
      </c>
      <c r="H13" s="13">
        <f>F13*G13</f>
        <v/>
      </c>
    </row>
    <row r="15">
      <c r="G15" s="20" t="inlineStr">
        <is>
          <t>Subtotal</t>
        </is>
      </c>
      <c r="H15" s="21">
        <f>SUM(H5:H13)</f>
        <v/>
      </c>
    </row>
    <row r="16">
      <c r="G16" s="22" t="inlineStr">
        <is>
          <t>Discount %</t>
        </is>
      </c>
      <c r="H16" s="23" t="n">
        <v>0</v>
      </c>
    </row>
    <row r="17">
      <c r="G17" s="22" t="inlineStr">
        <is>
          <t>After discount</t>
        </is>
      </c>
      <c r="H17" s="24">
        <f>H15*(1-H16)</f>
        <v/>
      </c>
    </row>
    <row r="18">
      <c r="G18" s="22" t="inlineStr">
        <is>
          <t>GST 18%</t>
        </is>
      </c>
      <c r="H18" s="24">
        <f>H17*0.18</f>
        <v/>
      </c>
    </row>
    <row r="19">
      <c r="G19" s="25" t="inlineStr">
        <is>
          <t>Grand total</t>
        </is>
      </c>
      <c r="H19" s="26">
        <f>H17+H18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Electrical</t>
        </is>
      </c>
    </row>
    <row r="2">
      <c r="A2" s="6" t="inlineStr">
        <is>
          <t>Per-point electrical · rewiring + switches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Wiring</t>
        </is>
      </c>
      <c r="C5" s="9" t="inlineStr">
        <is>
          <t>Light point — copper 1.5mm wiring</t>
        </is>
      </c>
      <c r="D5" s="10" t="inlineStr">
        <is>
          <t>Polycab / Havells</t>
        </is>
      </c>
      <c r="E5" s="8" t="inlineStr">
        <is>
          <t>point</t>
        </is>
      </c>
      <c r="F5" s="11" t="n">
        <v>30</v>
      </c>
      <c r="G5" s="12" t="n">
        <v>750</v>
      </c>
      <c r="H5" s="13">
        <f>F5*G5</f>
        <v/>
      </c>
    </row>
    <row r="6">
      <c r="A6" s="14" t="n">
        <v>2</v>
      </c>
      <c r="B6" s="15" t="inlineStr">
        <is>
          <t>Wiring</t>
        </is>
      </c>
      <c r="C6" s="15" t="inlineStr">
        <is>
          <t>5A power point</t>
        </is>
      </c>
      <c r="D6" s="16" t="inlineStr">
        <is>
          <t>Polycab / Havells</t>
        </is>
      </c>
      <c r="E6" s="14" t="inlineStr">
        <is>
          <t>point</t>
        </is>
      </c>
      <c r="F6" s="17" t="n">
        <v>20</v>
      </c>
      <c r="G6" s="18" t="n">
        <v>850</v>
      </c>
      <c r="H6" s="19">
        <f>F6*G6</f>
        <v/>
      </c>
    </row>
    <row r="7">
      <c r="A7" s="8" t="n">
        <v>3</v>
      </c>
      <c r="B7" s="9" t="inlineStr">
        <is>
          <t>Wiring</t>
        </is>
      </c>
      <c r="C7" s="9" t="inlineStr">
        <is>
          <t>15A AC / geyser point — 4mm copper</t>
        </is>
      </c>
      <c r="D7" s="10" t="inlineStr">
        <is>
          <t>Polycab / Havells</t>
        </is>
      </c>
      <c r="E7" s="8" t="inlineStr">
        <is>
          <t>point</t>
        </is>
      </c>
      <c r="F7" s="11" t="n">
        <v>6</v>
      </c>
      <c r="G7" s="12" t="n">
        <v>1850</v>
      </c>
      <c r="H7" s="13">
        <f>F7*G7</f>
        <v/>
      </c>
    </row>
    <row r="8">
      <c r="A8" s="14" t="n">
        <v>4</v>
      </c>
      <c r="B8" s="15" t="inlineStr">
        <is>
          <t>Switches</t>
        </is>
      </c>
      <c r="C8" s="15" t="inlineStr">
        <is>
          <t>Modular 6-module plate</t>
        </is>
      </c>
      <c r="D8" s="16" t="inlineStr">
        <is>
          <t>Anchor Roma Plus</t>
        </is>
      </c>
      <c r="E8" s="14" t="inlineStr">
        <is>
          <t>nos</t>
        </is>
      </c>
      <c r="F8" s="17" t="n">
        <v>18</v>
      </c>
      <c r="G8" s="18" t="n">
        <v>850</v>
      </c>
      <c r="H8" s="19">
        <f>F8*G8</f>
        <v/>
      </c>
    </row>
    <row r="9">
      <c r="A9" s="8" t="n">
        <v>5</v>
      </c>
      <c r="B9" s="9" t="inlineStr">
        <is>
          <t>Switches</t>
        </is>
      </c>
      <c r="C9" s="9" t="inlineStr">
        <is>
          <t>Modular premium plate</t>
        </is>
      </c>
      <c r="D9" s="10" t="inlineStr">
        <is>
          <t>Legrand Arteor</t>
        </is>
      </c>
      <c r="E9" s="8" t="inlineStr">
        <is>
          <t>nos</t>
        </is>
      </c>
      <c r="F9" s="11" t="n">
        <v>18</v>
      </c>
      <c r="G9" s="12" t="n">
        <v>1450</v>
      </c>
      <c r="H9" s="13">
        <f>F9*G9</f>
        <v/>
      </c>
    </row>
    <row r="10">
      <c r="A10" s="14" t="n">
        <v>6</v>
      </c>
      <c r="B10" s="15" t="inlineStr">
        <is>
          <t>Switches</t>
        </is>
      </c>
      <c r="C10" s="15" t="inlineStr">
        <is>
          <t>Smart switch (Wi-Fi)</t>
        </is>
      </c>
      <c r="D10" s="16" t="inlineStr">
        <is>
          <t>Anchor Smart / Wipro</t>
        </is>
      </c>
      <c r="E10" s="14" t="inlineStr">
        <is>
          <t>nos</t>
        </is>
      </c>
      <c r="F10" s="17" t="n">
        <v>6</v>
      </c>
      <c r="G10" s="18" t="n">
        <v>2200</v>
      </c>
      <c r="H10" s="19">
        <f>F10*G10</f>
        <v/>
      </c>
    </row>
    <row r="11">
      <c r="A11" s="8" t="n">
        <v>7</v>
      </c>
      <c r="B11" s="9" t="inlineStr">
        <is>
          <t>MCB</t>
        </is>
      </c>
      <c r="C11" s="9" t="inlineStr">
        <is>
          <t>MCB box + 6 MCBs + ELCB</t>
        </is>
      </c>
      <c r="D11" s="10" t="inlineStr">
        <is>
          <t>Schneider / Legrand</t>
        </is>
      </c>
      <c r="E11" s="8" t="inlineStr">
        <is>
          <t>set</t>
        </is>
      </c>
      <c r="F11" s="11" t="n">
        <v>1</v>
      </c>
      <c r="G11" s="12" t="n">
        <v>8500</v>
      </c>
      <c r="H11" s="13">
        <f>F11*G11</f>
        <v/>
      </c>
    </row>
    <row r="12">
      <c r="A12" s="14" t="n">
        <v>8</v>
      </c>
      <c r="B12" s="15" t="inlineStr">
        <is>
          <t>Internet</t>
        </is>
      </c>
      <c r="C12" s="15" t="inlineStr">
        <is>
          <t>CAT-6 LAN point</t>
        </is>
      </c>
      <c r="D12" s="16" t="inlineStr">
        <is>
          <t>D-Link</t>
        </is>
      </c>
      <c r="E12" s="14" t="inlineStr">
        <is>
          <t>point</t>
        </is>
      </c>
      <c r="F12" s="17" t="n">
        <v>4</v>
      </c>
      <c r="G12" s="18" t="n">
        <v>1450</v>
      </c>
      <c r="H12" s="19">
        <f>F12*G12</f>
        <v/>
      </c>
    </row>
    <row r="13">
      <c r="A13" s="8" t="n">
        <v>9</v>
      </c>
      <c r="B13" s="9" t="inlineStr">
        <is>
          <t>TV</t>
        </is>
      </c>
      <c r="C13" s="9" t="inlineStr">
        <is>
          <t>Coaxial / HDMI point</t>
        </is>
      </c>
      <c r="D13" s="10" t="inlineStr">
        <is>
          <t>D-Link</t>
        </is>
      </c>
      <c r="E13" s="8" t="inlineStr">
        <is>
          <t>point</t>
        </is>
      </c>
      <c r="F13" s="11" t="n">
        <v>2</v>
      </c>
      <c r="G13" s="12" t="n">
        <v>1850</v>
      </c>
      <c r="H13" s="13">
        <f>F13*G13</f>
        <v/>
      </c>
    </row>
    <row r="15">
      <c r="G15" s="20" t="inlineStr">
        <is>
          <t>Subtotal</t>
        </is>
      </c>
      <c r="H15" s="21">
        <f>SUM(H5:H13)</f>
        <v/>
      </c>
    </row>
    <row r="16">
      <c r="G16" s="22" t="inlineStr">
        <is>
          <t>Discount %</t>
        </is>
      </c>
      <c r="H16" s="23" t="n">
        <v>0</v>
      </c>
    </row>
    <row r="17">
      <c r="G17" s="22" t="inlineStr">
        <is>
          <t>After discount</t>
        </is>
      </c>
      <c r="H17" s="24">
        <f>H15*(1-H16)</f>
        <v/>
      </c>
    </row>
    <row r="18">
      <c r="G18" s="22" t="inlineStr">
        <is>
          <t>GST 18%</t>
        </is>
      </c>
      <c r="H18" s="24">
        <f>H17*0.18</f>
        <v/>
      </c>
    </row>
    <row r="19">
      <c r="G19" s="25" t="inlineStr">
        <is>
          <t>Grand total</t>
        </is>
      </c>
      <c r="H19" s="26">
        <f>H17+H18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TV Unit</t>
        </is>
      </c>
    </row>
    <row r="2">
      <c r="A2" s="6" t="inlineStr">
        <is>
          <t>Living room TV / entertainment unit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Carcass</t>
        </is>
      </c>
      <c r="C5" s="9" t="inlineStr">
        <is>
          <t>18mm BWP carcass</t>
        </is>
      </c>
      <c r="D5" s="10" t="inlineStr">
        <is>
          <t>Greenply BWP</t>
        </is>
      </c>
      <c r="E5" s="8" t="inlineStr">
        <is>
          <t>sqft</t>
        </is>
      </c>
      <c r="F5" s="11" t="n">
        <v>36</v>
      </c>
      <c r="G5" s="12" t="n">
        <v>880</v>
      </c>
      <c r="H5" s="13">
        <f>F5*G5</f>
        <v/>
      </c>
    </row>
    <row r="6">
      <c r="A6" s="14" t="n">
        <v>2</v>
      </c>
      <c r="B6" s="15" t="inlineStr">
        <is>
          <t>Shutter</t>
        </is>
      </c>
      <c r="C6" s="15" t="inlineStr">
        <is>
          <t>Laminate shutters (Merino fluted)</t>
        </is>
      </c>
      <c r="D6" s="16" t="inlineStr">
        <is>
          <t>Merino</t>
        </is>
      </c>
      <c r="E6" s="14" t="inlineStr">
        <is>
          <t>sqft</t>
        </is>
      </c>
      <c r="F6" s="17" t="n">
        <v>18</v>
      </c>
      <c r="G6" s="18" t="n">
        <v>480</v>
      </c>
      <c r="H6" s="19">
        <f>F6*G6</f>
        <v/>
      </c>
    </row>
    <row r="7">
      <c r="A7" s="8" t="n">
        <v>3</v>
      </c>
      <c r="B7" s="9" t="inlineStr">
        <is>
          <t>Open shelf</t>
        </is>
      </c>
      <c r="C7" s="9" t="inlineStr">
        <is>
          <t>Glass shelf with LED strip</t>
        </is>
      </c>
      <c r="D7" s="10" t="inlineStr">
        <is>
          <t>Saint-Gobain + Philips</t>
        </is>
      </c>
      <c r="E7" s="8" t="inlineStr">
        <is>
          <t>rft</t>
        </is>
      </c>
      <c r="F7" s="11" t="n">
        <v>6</v>
      </c>
      <c r="G7" s="12" t="n">
        <v>1850</v>
      </c>
      <c r="H7" s="13">
        <f>F7*G7</f>
        <v/>
      </c>
    </row>
    <row r="8">
      <c r="A8" s="14" t="n">
        <v>4</v>
      </c>
      <c r="B8" s="15" t="inlineStr">
        <is>
          <t>Backing</t>
        </is>
      </c>
      <c r="C8" s="15" t="inlineStr">
        <is>
          <t>Fluted panel back</t>
        </is>
      </c>
      <c r="D8" s="16" t="inlineStr">
        <is>
          <t>Greenlam fluted</t>
        </is>
      </c>
      <c r="E8" s="14" t="inlineStr">
        <is>
          <t>sqft</t>
        </is>
      </c>
      <c r="F8" s="17" t="n">
        <v>32</v>
      </c>
      <c r="G8" s="18" t="n">
        <v>580</v>
      </c>
      <c r="H8" s="19">
        <f>F8*G8</f>
        <v/>
      </c>
    </row>
    <row r="9">
      <c r="A9" s="8" t="n">
        <v>5</v>
      </c>
      <c r="B9" s="9" t="inlineStr">
        <is>
          <t>Hardware</t>
        </is>
      </c>
      <c r="C9" s="9" t="inlineStr">
        <is>
          <t>Hettich hinges + handles</t>
        </is>
      </c>
      <c r="D9" s="10" t="inlineStr">
        <is>
          <t>Hettich Sensys</t>
        </is>
      </c>
      <c r="E9" s="8" t="inlineStr">
        <is>
          <t>set</t>
        </is>
      </c>
      <c r="F9" s="11" t="n">
        <v>1</v>
      </c>
      <c r="G9" s="12" t="n">
        <v>4500</v>
      </c>
      <c r="H9" s="13">
        <f>F9*G9</f>
        <v/>
      </c>
    </row>
    <row r="10">
      <c r="A10" s="14" t="n">
        <v>6</v>
      </c>
      <c r="B10" s="15" t="inlineStr">
        <is>
          <t>LED</t>
        </is>
      </c>
      <c r="C10" s="15" t="inlineStr">
        <is>
          <t>Profile LED behind TV</t>
        </is>
      </c>
      <c r="D10" s="16" t="inlineStr">
        <is>
          <t>Philips strip</t>
        </is>
      </c>
      <c r="E10" s="14" t="inlineStr">
        <is>
          <t>rft</t>
        </is>
      </c>
      <c r="F10" s="17" t="n">
        <v>8</v>
      </c>
      <c r="G10" s="18" t="n">
        <v>350</v>
      </c>
      <c r="H10" s="19">
        <f>F10*G10</f>
        <v/>
      </c>
    </row>
    <row r="11">
      <c r="A11" s="8" t="n">
        <v>7</v>
      </c>
      <c r="B11" s="9" t="inlineStr">
        <is>
          <t>Wall mount</t>
        </is>
      </c>
      <c r="C11" s="9" t="inlineStr">
        <is>
          <t>TV wall mount (universal)</t>
        </is>
      </c>
      <c r="D11" s="10" t="inlineStr">
        <is>
          <t>Croma / Vantage</t>
        </is>
      </c>
      <c r="E11" s="8" t="inlineStr">
        <is>
          <t>nos</t>
        </is>
      </c>
      <c r="F11" s="11" t="n">
        <v>1</v>
      </c>
      <c r="G11" s="12" t="n">
        <v>3500</v>
      </c>
      <c r="H11" s="13">
        <f>F11*G11</f>
        <v/>
      </c>
    </row>
    <row r="13">
      <c r="G13" s="20" t="inlineStr">
        <is>
          <t>Subtotal</t>
        </is>
      </c>
      <c r="H13" s="21">
        <f>SUM(H5:H11)</f>
        <v/>
      </c>
    </row>
    <row r="14">
      <c r="G14" s="22" t="inlineStr">
        <is>
          <t>Discount %</t>
        </is>
      </c>
      <c r="H14" s="23" t="n">
        <v>0</v>
      </c>
    </row>
    <row r="15">
      <c r="G15" s="22" t="inlineStr">
        <is>
          <t>After discount</t>
        </is>
      </c>
      <c r="H15" s="24">
        <f>H13*(1-H14)</f>
        <v/>
      </c>
    </row>
    <row r="16">
      <c r="G16" s="22" t="inlineStr">
        <is>
          <t>GST 18%</t>
        </is>
      </c>
      <c r="H16" s="24">
        <f>H15*0.18</f>
        <v/>
      </c>
    </row>
    <row r="17">
      <c r="G17" s="25" t="inlineStr">
        <is>
          <t>Grand total</t>
        </is>
      </c>
      <c r="H17" s="26">
        <f>H15+H16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Pooja Unit</t>
        </is>
      </c>
    </row>
    <row r="2">
      <c r="A2" s="6" t="inlineStr">
        <is>
          <t>Pooja mandir / unit options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Carcass</t>
        </is>
      </c>
      <c r="C5" s="9" t="inlineStr">
        <is>
          <t>Teak veneer ply 19mm</t>
        </is>
      </c>
      <c r="D5" s="10" t="inlineStr">
        <is>
          <t>Greenply teak veneer</t>
        </is>
      </c>
      <c r="E5" s="8" t="inlineStr">
        <is>
          <t>sqft</t>
        </is>
      </c>
      <c r="F5" s="11" t="n">
        <v>18</v>
      </c>
      <c r="G5" s="12" t="n">
        <v>1850</v>
      </c>
      <c r="H5" s="13">
        <f>F5*G5</f>
        <v/>
      </c>
    </row>
    <row r="6">
      <c r="A6" s="14" t="n">
        <v>2</v>
      </c>
      <c r="B6" s="15" t="inlineStr">
        <is>
          <t>Doors</t>
        </is>
      </c>
      <c r="C6" s="15" t="inlineStr">
        <is>
          <t>Teak panel hinged doors with brass</t>
        </is>
      </c>
      <c r="D6" s="16" t="inlineStr">
        <is>
          <t>Teak + brass</t>
        </is>
      </c>
      <c r="E6" s="14" t="inlineStr">
        <is>
          <t>sqft</t>
        </is>
      </c>
      <c r="F6" s="17" t="n">
        <v>12</v>
      </c>
      <c r="G6" s="18" t="n">
        <v>2400</v>
      </c>
      <c r="H6" s="19">
        <f>F6*G6</f>
        <v/>
      </c>
    </row>
    <row r="7">
      <c r="A7" s="8" t="n">
        <v>3</v>
      </c>
      <c r="B7" s="9" t="inlineStr">
        <is>
          <t>Shelves</t>
        </is>
      </c>
      <c r="C7" s="9" t="inlineStr">
        <is>
          <t>Teak step shelves</t>
        </is>
      </c>
      <c r="D7" s="10" t="inlineStr">
        <is>
          <t>Teak</t>
        </is>
      </c>
      <c r="E7" s="8" t="inlineStr">
        <is>
          <t>rft</t>
        </is>
      </c>
      <c r="F7" s="11" t="n">
        <v>6</v>
      </c>
      <c r="G7" s="12" t="n">
        <v>850</v>
      </c>
      <c r="H7" s="13">
        <f>F7*G7</f>
        <v/>
      </c>
    </row>
    <row r="8">
      <c r="A8" s="14" t="n">
        <v>4</v>
      </c>
      <c r="B8" s="15" t="inlineStr">
        <is>
          <t>LED</t>
        </is>
      </c>
      <c r="C8" s="15" t="inlineStr">
        <is>
          <t>Warm cove + spot LED</t>
        </is>
      </c>
      <c r="D8" s="16" t="inlineStr">
        <is>
          <t>Philips warm white</t>
        </is>
      </c>
      <c r="E8" s="14" t="inlineStr">
        <is>
          <t>set</t>
        </is>
      </c>
      <c r="F8" s="17" t="n">
        <v>1</v>
      </c>
      <c r="G8" s="18" t="n">
        <v>4500</v>
      </c>
      <c r="H8" s="19">
        <f>F8*G8</f>
        <v/>
      </c>
    </row>
    <row r="9">
      <c r="A9" s="8" t="n">
        <v>5</v>
      </c>
      <c r="B9" s="9" t="inlineStr">
        <is>
          <t>Bell hook</t>
        </is>
      </c>
      <c r="C9" s="9" t="inlineStr">
        <is>
          <t>Brass bell hook</t>
        </is>
      </c>
      <c r="D9" s="10" t="inlineStr">
        <is>
          <t>Brass</t>
        </is>
      </c>
      <c r="E9" s="8" t="inlineStr">
        <is>
          <t>nos</t>
        </is>
      </c>
      <c r="F9" s="11" t="n">
        <v>2</v>
      </c>
      <c r="G9" s="12" t="n">
        <v>850</v>
      </c>
      <c r="H9" s="13">
        <f>F9*G9</f>
        <v/>
      </c>
    </row>
    <row r="10">
      <c r="A10" s="14" t="n">
        <v>6</v>
      </c>
      <c r="B10" s="15" t="inlineStr">
        <is>
          <t>Stone work</t>
        </is>
      </c>
      <c r="C10" s="15" t="inlineStr">
        <is>
          <t>Marble / granite base slab</t>
        </is>
      </c>
      <c r="D10" s="16" t="inlineStr">
        <is>
          <t>White Italian marble</t>
        </is>
      </c>
      <c r="E10" s="14" t="inlineStr">
        <is>
          <t>sqft</t>
        </is>
      </c>
      <c r="F10" s="17" t="n">
        <v>6</v>
      </c>
      <c r="G10" s="18" t="n">
        <v>850</v>
      </c>
      <c r="H10" s="19">
        <f>F10*G10</f>
        <v/>
      </c>
    </row>
    <row r="12">
      <c r="G12" s="20" t="inlineStr">
        <is>
          <t>Subtotal</t>
        </is>
      </c>
      <c r="H12" s="21">
        <f>SUM(H5:H10)</f>
        <v/>
      </c>
    </row>
    <row r="13">
      <c r="G13" s="22" t="inlineStr">
        <is>
          <t>Discount %</t>
        </is>
      </c>
      <c r="H13" s="23" t="n">
        <v>0</v>
      </c>
    </row>
    <row r="14">
      <c r="G14" s="22" t="inlineStr">
        <is>
          <t>After discount</t>
        </is>
      </c>
      <c r="H14" s="24">
        <f>H12*(1-H13)</f>
        <v/>
      </c>
    </row>
    <row r="15">
      <c r="G15" s="22" t="inlineStr">
        <is>
          <t>GST 18%</t>
        </is>
      </c>
      <c r="H15" s="24">
        <f>H14*0.18</f>
        <v/>
      </c>
    </row>
    <row r="16">
      <c r="G16" s="25" t="inlineStr">
        <is>
          <t>Grand total</t>
        </is>
      </c>
      <c r="H16" s="26">
        <f>H14+H15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28" customHeight="1">
      <c r="A1" s="5" t="inlineStr">
        <is>
          <t>Homicube · Full Home Master</t>
        </is>
      </c>
    </row>
    <row r="2">
      <c r="A2" s="6" t="inlineStr">
        <is>
          <t>Master template — copy &amp; customise per project</t>
        </is>
      </c>
    </row>
    <row r="4">
      <c r="A4" s="7" t="inlineStr">
        <is>
          <t>Sl</t>
        </is>
      </c>
      <c r="B4" s="7" t="inlineStr">
        <is>
          <t>Room</t>
        </is>
      </c>
      <c r="C4" s="7" t="inlineStr">
        <is>
          <t>Item description</t>
        </is>
      </c>
      <c r="D4" s="7" t="inlineStr">
        <is>
          <t>Brand</t>
        </is>
      </c>
      <c r="E4" s="7" t="inlineStr">
        <is>
          <t>Unit</t>
        </is>
      </c>
      <c r="F4" s="7" t="inlineStr">
        <is>
          <t>Qty</t>
        </is>
      </c>
      <c r="G4" s="7" t="inlineStr">
        <is>
          <t>Rate (₹)</t>
        </is>
      </c>
      <c r="H4" s="7" t="inlineStr">
        <is>
          <t>Amount (₹)</t>
        </is>
      </c>
    </row>
    <row r="5">
      <c r="A5" s="8" t="n">
        <v>1</v>
      </c>
      <c r="B5" s="9" t="inlineStr">
        <is>
          <t>Living</t>
        </is>
      </c>
      <c r="C5" s="9" t="inlineStr">
        <is>
          <t>TV unit</t>
        </is>
      </c>
      <c r="D5" s="10" t="inlineStr">
        <is>
          <t>—</t>
        </is>
      </c>
      <c r="E5" s="8" t="inlineStr">
        <is>
          <t>sqft</t>
        </is>
      </c>
      <c r="F5" s="11" t="n">
        <v>0</v>
      </c>
      <c r="G5" s="12" t="n">
        <v>1500</v>
      </c>
      <c r="H5" s="13">
        <f>F5*G5</f>
        <v/>
      </c>
    </row>
    <row r="6">
      <c r="A6" s="14" t="n">
        <v>2</v>
      </c>
      <c r="B6" s="15" t="inlineStr">
        <is>
          <t>Living</t>
        </is>
      </c>
      <c r="C6" s="15" t="inlineStr">
        <is>
          <t>Pooja unit</t>
        </is>
      </c>
      <c r="D6" s="16" t="inlineStr">
        <is>
          <t>—</t>
        </is>
      </c>
      <c r="E6" s="14" t="inlineStr">
        <is>
          <t>sqft</t>
        </is>
      </c>
      <c r="F6" s="17" t="n">
        <v>0</v>
      </c>
      <c r="G6" s="18" t="n">
        <v>2200</v>
      </c>
      <c r="H6" s="19">
        <f>F6*G6</f>
        <v/>
      </c>
    </row>
    <row r="7">
      <c r="A7" s="8" t="n">
        <v>3</v>
      </c>
      <c r="B7" s="9" t="inlineStr">
        <is>
          <t>Living</t>
        </is>
      </c>
      <c r="C7" s="9" t="inlineStr">
        <is>
          <t>Crockery / sideboard</t>
        </is>
      </c>
      <c r="D7" s="10" t="inlineStr">
        <is>
          <t>—</t>
        </is>
      </c>
      <c r="E7" s="8" t="inlineStr">
        <is>
          <t>sqft</t>
        </is>
      </c>
      <c r="F7" s="11" t="n">
        <v>0</v>
      </c>
      <c r="G7" s="12" t="n">
        <v>1450</v>
      </c>
      <c r="H7" s="13">
        <f>F7*G7</f>
        <v/>
      </c>
    </row>
    <row r="8">
      <c r="A8" s="14" t="n">
        <v>4</v>
      </c>
      <c r="B8" s="15" t="inlineStr">
        <is>
          <t>Kitchen</t>
        </is>
      </c>
      <c r="C8" s="15" t="inlineStr">
        <is>
          <t>Modular base + wall + tall</t>
        </is>
      </c>
      <c r="D8" s="16" t="inlineStr">
        <is>
          <t>—</t>
        </is>
      </c>
      <c r="E8" s="14" t="inlineStr">
        <is>
          <t>rft</t>
        </is>
      </c>
      <c r="F8" s="17" t="n">
        <v>0</v>
      </c>
      <c r="G8" s="18" t="n">
        <v>19000</v>
      </c>
      <c r="H8" s="19">
        <f>F8*G8</f>
        <v/>
      </c>
    </row>
    <row r="9">
      <c r="A9" s="8" t="n">
        <v>5</v>
      </c>
      <c r="B9" s="9" t="inlineStr">
        <is>
          <t>Kitchen</t>
        </is>
      </c>
      <c r="C9" s="9" t="inlineStr">
        <is>
          <t>Granite + dado</t>
        </is>
      </c>
      <c r="D9" s="10" t="inlineStr">
        <is>
          <t>—</t>
        </is>
      </c>
      <c r="E9" s="8" t="inlineStr">
        <is>
          <t>rft</t>
        </is>
      </c>
      <c r="F9" s="11" t="n">
        <v>0</v>
      </c>
      <c r="G9" s="12" t="n">
        <v>1500</v>
      </c>
      <c r="H9" s="13">
        <f>F9*G9</f>
        <v/>
      </c>
    </row>
    <row r="10">
      <c r="A10" s="14" t="n">
        <v>6</v>
      </c>
      <c r="B10" s="15" t="inlineStr">
        <is>
          <t>Master Bed</t>
        </is>
      </c>
      <c r="C10" s="15" t="inlineStr">
        <is>
          <t>Wardrobe</t>
        </is>
      </c>
      <c r="D10" s="16" t="inlineStr">
        <is>
          <t>—</t>
        </is>
      </c>
      <c r="E10" s="14" t="inlineStr">
        <is>
          <t>sqft</t>
        </is>
      </c>
      <c r="F10" s="17" t="n">
        <v>0</v>
      </c>
      <c r="G10" s="18" t="n">
        <v>1550</v>
      </c>
      <c r="H10" s="19">
        <f>F10*G10</f>
        <v/>
      </c>
    </row>
    <row r="11">
      <c r="A11" s="8" t="n">
        <v>7</v>
      </c>
      <c r="B11" s="9" t="inlineStr">
        <is>
          <t>Master Bed</t>
        </is>
      </c>
      <c r="C11" s="9" t="inlineStr">
        <is>
          <t>Bed + storage</t>
        </is>
      </c>
      <c r="D11" s="10" t="inlineStr">
        <is>
          <t>—</t>
        </is>
      </c>
      <c r="E11" s="8" t="inlineStr">
        <is>
          <t>set</t>
        </is>
      </c>
      <c r="F11" s="11" t="n">
        <v>0</v>
      </c>
      <c r="G11" s="12" t="n">
        <v>55000</v>
      </c>
      <c r="H11" s="13">
        <f>F11*G11</f>
        <v/>
      </c>
    </row>
    <row r="12">
      <c r="A12" s="14" t="n">
        <v>8</v>
      </c>
      <c r="B12" s="15" t="inlineStr">
        <is>
          <t>Bed 2</t>
        </is>
      </c>
      <c r="C12" s="15" t="inlineStr">
        <is>
          <t>Wardrobe + bed</t>
        </is>
      </c>
      <c r="D12" s="16" t="inlineStr">
        <is>
          <t>—</t>
        </is>
      </c>
      <c r="E12" s="14" t="inlineStr">
        <is>
          <t>set</t>
        </is>
      </c>
      <c r="F12" s="17" t="n">
        <v>0</v>
      </c>
      <c r="G12" s="18" t="n">
        <v>95000</v>
      </c>
      <c r="H12" s="19">
        <f>F12*G12</f>
        <v/>
      </c>
    </row>
    <row r="13">
      <c r="A13" s="8" t="n">
        <v>9</v>
      </c>
      <c r="B13" s="9" t="inlineStr">
        <is>
          <t>False ceiling</t>
        </is>
      </c>
      <c r="C13" s="9" t="inlineStr">
        <is>
          <t>All rooms POP / gypsum</t>
        </is>
      </c>
      <c r="D13" s="10" t="inlineStr">
        <is>
          <t>—</t>
        </is>
      </c>
      <c r="E13" s="8" t="inlineStr">
        <is>
          <t>sqft</t>
        </is>
      </c>
      <c r="F13" s="11" t="n">
        <v>0</v>
      </c>
      <c r="G13" s="12" t="n">
        <v>105</v>
      </c>
      <c r="H13" s="13">
        <f>F13*G13</f>
        <v/>
      </c>
    </row>
    <row r="14">
      <c r="A14" s="14" t="n">
        <v>10</v>
      </c>
      <c r="B14" s="15" t="inlineStr">
        <is>
          <t>Painting</t>
        </is>
      </c>
      <c r="C14" s="15" t="inlineStr">
        <is>
          <t>Walls + ceiling premium</t>
        </is>
      </c>
      <c r="D14" s="16" t="inlineStr">
        <is>
          <t>—</t>
        </is>
      </c>
      <c r="E14" s="14" t="inlineStr">
        <is>
          <t>sqft</t>
        </is>
      </c>
      <c r="F14" s="17" t="n">
        <v>0</v>
      </c>
      <c r="G14" s="18" t="n">
        <v>38</v>
      </c>
      <c r="H14" s="19">
        <f>F14*G14</f>
        <v/>
      </c>
    </row>
    <row r="15">
      <c r="A15" s="8" t="n">
        <v>11</v>
      </c>
      <c r="B15" s="9" t="inlineStr">
        <is>
          <t>Lighting</t>
        </is>
      </c>
      <c r="C15" s="9" t="inlineStr">
        <is>
          <t>LED + cove + fixtures</t>
        </is>
      </c>
      <c r="D15" s="10" t="inlineStr">
        <is>
          <t>—</t>
        </is>
      </c>
      <c r="E15" s="8" t="inlineStr">
        <is>
          <t>set</t>
        </is>
      </c>
      <c r="F15" s="11" t="n">
        <v>0</v>
      </c>
      <c r="G15" s="12" t="n">
        <v>50000</v>
      </c>
      <c r="H15" s="13">
        <f>F15*G15</f>
        <v/>
      </c>
    </row>
    <row r="16">
      <c r="A16" s="14" t="n">
        <v>12</v>
      </c>
      <c r="B16" s="15" t="inlineStr">
        <is>
          <t>Electrical</t>
        </is>
      </c>
      <c r="C16" s="15" t="inlineStr">
        <is>
          <t>Rewiring + switches</t>
        </is>
      </c>
      <c r="D16" s="16" t="inlineStr">
        <is>
          <t>—</t>
        </is>
      </c>
      <c r="E16" s="14" t="inlineStr">
        <is>
          <t>point</t>
        </is>
      </c>
      <c r="F16" s="17" t="n">
        <v>0</v>
      </c>
      <c r="G16" s="18" t="n">
        <v>950</v>
      </c>
      <c r="H16" s="19">
        <f>F16*G16</f>
        <v/>
      </c>
    </row>
    <row r="18">
      <c r="G18" s="20" t="inlineStr">
        <is>
          <t>Subtotal</t>
        </is>
      </c>
      <c r="H18" s="21">
        <f>SUM(H5:H16)</f>
        <v/>
      </c>
    </row>
    <row r="19">
      <c r="G19" s="22" t="inlineStr">
        <is>
          <t>Discount %</t>
        </is>
      </c>
      <c r="H19" s="23" t="n">
        <v>0</v>
      </c>
    </row>
    <row r="20">
      <c r="G20" s="22" t="inlineStr">
        <is>
          <t>After discount</t>
        </is>
      </c>
      <c r="H20" s="24">
        <f>H18*(1-H19)</f>
        <v/>
      </c>
    </row>
    <row r="21">
      <c r="G21" s="22" t="inlineStr">
        <is>
          <t>GST 18%</t>
        </is>
      </c>
      <c r="H21" s="24">
        <f>H20*0.18</f>
        <v/>
      </c>
    </row>
    <row r="22">
      <c r="G22" s="25" t="inlineStr">
        <is>
          <t>Grand total</t>
        </is>
      </c>
      <c r="H22" s="26">
        <f>H20+H21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 ht="28" customHeight="1">
      <c r="A1" s="5" t="inlineStr">
        <is>
          <t>Quick GST &amp; discount calculator</t>
        </is>
      </c>
    </row>
    <row r="2">
      <c r="A2" s="6" t="inlineStr">
        <is>
          <t>Use this if your client asks 'what if I want a 5% discount?' on a call</t>
        </is>
      </c>
    </row>
    <row r="4">
      <c r="A4" t="inlineStr">
        <is>
          <t>Subtotal (₹)</t>
        </is>
      </c>
      <c r="B4" s="27" t="n">
        <v>500000</v>
      </c>
    </row>
    <row r="5">
      <c r="A5" t="inlineStr">
        <is>
          <t>Discount %</t>
        </is>
      </c>
      <c r="B5" s="28" t="n">
        <v>0.05</v>
      </c>
    </row>
    <row r="6">
      <c r="A6" t="inlineStr">
        <is>
          <t>After discount</t>
        </is>
      </c>
      <c r="B6" s="24">
        <f>B4*(1-B5)</f>
        <v/>
      </c>
    </row>
    <row r="7">
      <c r="A7" t="inlineStr">
        <is>
          <t>GST 18%</t>
        </is>
      </c>
      <c r="B7" s="24">
        <f>B6*0.18</f>
        <v/>
      </c>
    </row>
    <row r="8">
      <c r="A8" s="29" t="inlineStr">
        <is>
          <t>Grand total</t>
        </is>
      </c>
      <c r="B8" s="30">
        <f>B6+B7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2026-04-30T12:53:21Z</dcterms:created>
  <dcterms:modified xmlns:dcterms="http://purl.org/dc/terms/" xmlns:xsi="http://www.w3.org/2001/XMLSchema-instance" xsi:type="dcterms:W3CDTF">2026-04-30T12:53:22Z</dcterms:modified>
</cp:coreProperties>
</file>